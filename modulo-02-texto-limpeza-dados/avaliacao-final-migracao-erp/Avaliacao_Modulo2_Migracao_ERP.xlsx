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2-texto-limpeza-dados/"/>
    </mc:Choice>
  </mc:AlternateContent>
  <xr:revisionPtr revIDLastSave="51" documentId="11_CF9F92DAB97744052E5D831C1EFF1CF7671C7E02" xr6:coauthVersionLast="47" xr6:coauthVersionMax="47" xr10:uidLastSave="{DF4F8C3A-0D39-4089-8D1A-DFAA4BAD580B}"/>
  <bookViews>
    <workbookView xWindow="-120" yWindow="-120" windowWidth="38640" windowHeight="15720" tabRatio="500" xr2:uid="{00000000-000D-0000-FFFF-FFFF00000000}"/>
  </bookViews>
  <sheets>
    <sheet name="Ativos" sheetId="1" r:id="rId1"/>
  </sheets>
  <definedNames>
    <definedName name="Ano_Aquisicao_Cod">Ativos[Ano_Aquisicao_Cod]</definedName>
    <definedName name="Categoria">Ativos[Categoria]</definedName>
    <definedName name="Categoria_Sistema">Ativos[Categoria_Sistema]</definedName>
    <definedName name="Codigo_Legado">Ativos[Codigo_Legado]</definedName>
    <definedName name="Data_Aquisicao">Ativos[Data_Aquisicao]</definedName>
    <definedName name="Descricao_Completa">Ativos[Descricao_Completa]</definedName>
    <definedName name="Email_Padronizado">Ativos[Email_Padronizado]</definedName>
    <definedName name="Email_Responsavel">Ativos[Email_Responsavel]</definedName>
    <definedName name="Fabricante">Ativos[Fabricante]</definedName>
    <definedName name="Nome_Responsavel">Ativos[Nome_Responsavel]</definedName>
    <definedName name="Nome_Responsavel_Padronizado">Ativos[Nome_Responsavel_Padronizado]</definedName>
    <definedName name="Observacao">Ativos[Observacao]</definedName>
    <definedName name="Resumo_Aquisicao">Ativos[Resumo_Aquisicao]</definedName>
    <definedName name="Setor_Cod">Ativos[Setor_Cod]</definedName>
    <definedName name="UF">Ativos[UF]</definedName>
    <definedName name="Valor_Aquisicao">Ativos[Valor_Aquisicao]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J2" i="1"/>
  <c r="J3" i="1"/>
  <c r="J4" i="1"/>
  <c r="J5" i="1"/>
  <c r="J6" i="1"/>
  <c r="J7" i="1"/>
  <c r="J8" i="1"/>
  <c r="J9" i="1"/>
  <c r="J10" i="1"/>
  <c r="J11" i="1"/>
  <c r="J12" i="1"/>
  <c r="J13" i="1"/>
  <c r="P2" i="1"/>
  <c r="P3" i="1"/>
  <c r="P4" i="1"/>
  <c r="P5" i="1"/>
  <c r="P6" i="1"/>
  <c r="P7" i="1"/>
  <c r="P8" i="1"/>
  <c r="P9" i="1"/>
  <c r="P10" i="1"/>
  <c r="P11" i="1"/>
  <c r="P12" i="1"/>
  <c r="P13" i="1"/>
  <c r="O2" i="1"/>
  <c r="O3" i="1"/>
  <c r="O4" i="1"/>
  <c r="O5" i="1"/>
  <c r="O6" i="1"/>
  <c r="O7" i="1"/>
  <c r="O8" i="1"/>
  <c r="O9" i="1"/>
  <c r="O10" i="1"/>
  <c r="O11" i="1"/>
  <c r="O12" i="1"/>
  <c r="O13" i="1"/>
  <c r="N2" i="1"/>
  <c r="N3" i="1"/>
  <c r="N4" i="1"/>
  <c r="N5" i="1"/>
  <c r="N6" i="1"/>
  <c r="N7" i="1"/>
  <c r="N8" i="1"/>
  <c r="N9" i="1"/>
  <c r="N10" i="1"/>
  <c r="N11" i="1"/>
  <c r="N12" i="1"/>
  <c r="N13" i="1"/>
  <c r="L2" i="1"/>
  <c r="L3" i="1"/>
  <c r="L4" i="1"/>
  <c r="L5" i="1"/>
  <c r="L6" i="1"/>
  <c r="L7" i="1"/>
  <c r="L8" i="1"/>
  <c r="L9" i="1"/>
  <c r="L10" i="1"/>
  <c r="L11" i="1"/>
  <c r="L12" i="1"/>
  <c r="L13" i="1"/>
  <c r="K2" i="1"/>
  <c r="K3" i="1"/>
  <c r="K4" i="1"/>
  <c r="K5" i="1"/>
  <c r="K6" i="1"/>
  <c r="K7" i="1"/>
  <c r="K8" i="1"/>
  <c r="K9" i="1"/>
  <c r="K10" i="1"/>
  <c r="K11" i="1"/>
  <c r="K12" i="1"/>
  <c r="K13" i="1"/>
  <c r="I2" i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<sst xmlns="http://schemas.openxmlformats.org/spreadsheetml/2006/main" count="76" uniqueCount="68">
  <si>
    <t>Codigo_Legado</t>
  </si>
  <si>
    <t>Nome_Responsavel</t>
  </si>
  <si>
    <t>Email_Responsavel</t>
  </si>
  <si>
    <t>Categoria</t>
  </si>
  <si>
    <t>Fabricante</t>
  </si>
  <si>
    <t>Observacao</t>
  </si>
  <si>
    <t>Valor_Aquisicao</t>
  </si>
  <si>
    <t>Data_Aquisicao</t>
  </si>
  <si>
    <t>Setor_Cod</t>
  </si>
  <si>
    <t>Ano_Aquisicao_Cod</t>
  </si>
  <si>
    <t>UF</t>
  </si>
  <si>
    <t>Nome_Responsavel_Padronizado</t>
  </si>
  <si>
    <t>Email_Padronizado</t>
  </si>
  <si>
    <t>Categoria_Sistema</t>
  </si>
  <si>
    <t>Descricao_Completa</t>
  </si>
  <si>
    <t>Resumo_Aquisicao</t>
  </si>
  <si>
    <t>PRD-2022-00458-RJ</t>
  </si>
  <si>
    <t xml:space="preserve">  MARCELE souza SILVA</t>
  </si>
  <si>
    <t>Marcele.Silva@GMAIL.com</t>
  </si>
  <si>
    <t>equipamento</t>
  </si>
  <si>
    <t>Bosch</t>
  </si>
  <si>
    <t>ENG-2023-00912-SP</t>
  </si>
  <si>
    <t xml:space="preserve">joão  pedro ALMEIDA </t>
  </si>
  <si>
    <t>JoaoPedro@Hotmail.COM</t>
  </si>
  <si>
    <t>maquinario</t>
  </si>
  <si>
    <t>Revisão anual</t>
  </si>
  <si>
    <t>MNT-2021-00147-RJ</t>
  </si>
  <si>
    <t>ana carolina  souza</t>
  </si>
  <si>
    <t xml:space="preserve">Ana.Souza@Outlook.com </t>
  </si>
  <si>
    <t>ferramenta</t>
  </si>
  <si>
    <t>Makita</t>
  </si>
  <si>
    <t>SUP-2024-00623-MG</t>
  </si>
  <si>
    <t xml:space="preserve"> CARLOS henrique SANTOS</t>
  </si>
  <si>
    <t>Carlos.Santos@YAHOO.com</t>
  </si>
  <si>
    <t>veiculo</t>
  </si>
  <si>
    <t>Uso exclusivo logística</t>
  </si>
  <si>
    <t>TIN-2020-00089-RJ</t>
  </si>
  <si>
    <t xml:space="preserve">fernanda  LIMA rocha </t>
  </si>
  <si>
    <t>Fernanda.Rocha@GMAIL.COM</t>
  </si>
  <si>
    <t>Dell</t>
  </si>
  <si>
    <t>PRD-2023-00734-RJ</t>
  </si>
  <si>
    <t>bruno ALVES  costa</t>
  </si>
  <si>
    <t>Bruno.Costa@Hotmail.com</t>
  </si>
  <si>
    <t>WEG</t>
  </si>
  <si>
    <t>Instalação em julho</t>
  </si>
  <si>
    <t>ENG-2022-00256-SP</t>
  </si>
  <si>
    <t xml:space="preserve"> JULIA martins PEREIRA</t>
  </si>
  <si>
    <t>Julia.Pereira@GMAIL.com</t>
  </si>
  <si>
    <t>MNT-2024-00981-RJ</t>
  </si>
  <si>
    <t>rafael  nunes DIAS</t>
  </si>
  <si>
    <t>Rafael.Dias@Outlook.COM</t>
  </si>
  <si>
    <t>Lenovo</t>
  </si>
  <si>
    <t>SUP-2021-00365-RJ</t>
  </si>
  <si>
    <t xml:space="preserve">SOPHIA cardoso  LIMA </t>
  </si>
  <si>
    <t>Sophia.Lima@YAHOO.COM</t>
  </si>
  <si>
    <t>Volvo</t>
  </si>
  <si>
    <t>Frota pesada</t>
  </si>
  <si>
    <t>PRD-2020-00512-MG</t>
  </si>
  <si>
    <t xml:space="preserve"> gabriel augusto MOREIRA</t>
  </si>
  <si>
    <t>Gabriel.Moreira@Gmail.com</t>
  </si>
  <si>
    <t>Substituição de linha</t>
  </si>
  <si>
    <t>TIN-2023-00178-RJ</t>
  </si>
  <si>
    <t>beatriz  FERNANDES rocha</t>
  </si>
  <si>
    <t>Beatriz.Rocha@Hotmail.COM</t>
  </si>
  <si>
    <t>Stanley</t>
  </si>
  <si>
    <t>MNT-2022-00845-SP</t>
  </si>
  <si>
    <t xml:space="preserve">THIAGO barbosa  SANTOS </t>
  </si>
  <si>
    <t>Thiago.Santos@Outlook.com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</si>
</sst>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14" fontId="2" fillId="0" borderId="8" xfId="0" applyNumberFormat="1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>
        <left/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0" formatCode="General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08080"/>
        <name val="Arial"/>
        <charset val="1"/>
        <scheme val="none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CEC7B-77F7-4D12-81ED-9F3168744126}" name="Ativos" displayName="Ativos" ref="A1:P13" totalsRowShown="0" headerRowDxfId="20" dataDxfId="18" headerRowBorderDxfId="19" tableBorderDxfId="17" totalsRowBorderDxfId="16">
  <autoFilter ref="A1:P13" xr:uid="{F94CEC7B-77F7-4D12-81ED-9F3168744126}"/>
  <tableColumns count="16">
    <tableColumn id="1" xr3:uid="{7867160C-2633-4643-BD01-44A56F255789}" name="Codigo_Legado" dataDxfId="15"/>
    <tableColumn id="2" xr3:uid="{94140D9F-5B31-453F-B939-925064BC41AC}" name="Nome_Responsavel" dataDxfId="14"/>
    <tableColumn id="3" xr3:uid="{EEB216B0-D52B-4361-B620-D49377661303}" name="Email_Responsavel" dataDxfId="13"/>
    <tableColumn id="4" xr3:uid="{28A9F08C-2A67-43E6-AE00-C166FA2394D4}" name="Categoria" dataDxfId="12"/>
    <tableColumn id="5" xr3:uid="{268326B1-9B05-4182-B4C2-F5A749E95691}" name="Fabricante" dataDxfId="11"/>
    <tableColumn id="6" xr3:uid="{7EAE8A3E-22EE-4992-A94F-AB673E6D6C20}" name="Observacao" dataDxfId="10"/>
    <tableColumn id="7" xr3:uid="{5E6DDB5E-792D-41B6-AA31-75DC750C2DB7}" name="Valor_Aquisicao" dataDxfId="9"/>
    <tableColumn id="8" xr3:uid="{E564F846-7051-4BDF-9AFA-0A27CDBF4ED0}" name="Data_Aquisicao" dataDxfId="8"/>
    <tableColumn id="9" xr3:uid="{FBE6E88A-D90A-433B-9195-7034FCFE2ABF}" name="Setor_Cod" dataDxfId="7">
      <calculatedColumnFormula>LEFT(Ativos[[#This Row],[Codigo_Legado]],3)</calculatedColumnFormula>
    </tableColumn>
    <tableColumn id="10" xr3:uid="{29591256-7F32-42E6-AFA8-5E641F472106}" name="Ano_Aquisicao_Cod" dataDxfId="1">
      <calculatedColumnFormula>MID(Ativos[[#This Row],[Codigo_Legado]],5,4)</calculatedColumnFormula>
    </tableColumn>
    <tableColumn id="11" xr3:uid="{FE223691-5F03-49C0-9CB7-A2E4CF436FEA}" name="UF" dataDxfId="6">
      <calculatedColumnFormula>RIGHT(Ativos[[#This Row],[Codigo_Legado]],2)</calculatedColumnFormula>
    </tableColumn>
    <tableColumn id="12" xr3:uid="{7311E7FC-E1F0-45FE-911A-DA56C5BF5AE1}" name="Nome_Responsavel_Padronizado" dataDxfId="5">
      <calculatedColumnFormula>TRIM(PROPER(Ativos[[#This Row],[Nome_Responsavel]]))</calculatedColumnFormula>
    </tableColumn>
    <tableColumn id="13" xr3:uid="{CF7F5A5B-E10A-47E0-93EE-C32958D3F174}" name="Email_Padronizado" dataDxfId="0">
      <calculatedColumnFormula>LOWER(TRIM(Ativos[[#This Row],[Email_Responsavel]]))</calculatedColumnFormula>
    </tableColumn>
    <tableColumn id="14" xr3:uid="{CC6AAA77-AA19-46CA-9B81-BFF366722DA6}" name="Categoria_Sistema" dataDxfId="4">
      <calculatedColumnFormula>UPPER(Ativos[[#This Row],[Categoria]])</calculatedColumnFormula>
    </tableColumn>
    <tableColumn id="15" xr3:uid="{52585CDF-E399-46A0-A286-338ACD6F1D41}" name="Descricao_Completa" dataDxfId="3">
      <calculatedColumnFormula>_xlfn.TEXTJOIN(", ",TRUE,Ativos[[#This Row],[Fabricante]],Ativos[[#This Row],[Observacao]])</calculatedColumnFormula>
    </tableColumn>
    <tableColumn id="16" xr3:uid="{101546A7-5201-45CD-8873-BBD1988A1E0F}" name="Resumo_Aquisicao" dataDxfId="2">
      <calculatedColumnFormula>"Ativo adquirido em " &amp; TEXT(Ativos[[#This Row],[Data_Aquisicao]], "DD/MM/AAAA") &amp; " por R$ " &amp; TEXT(Ativos[[#This Row],[Valor_Aquisicao]], "##.###,00") &amp; "."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Normal="100" workbookViewId="0">
      <pane ySplit="1" topLeftCell="A2" activePane="bottomLeft" state="frozen"/>
      <selection pane="bottomLeft" activeCell="M3" sqref="M3"/>
    </sheetView>
  </sheetViews>
  <sheetFormatPr defaultColWidth="8.7109375" defaultRowHeight="15" x14ac:dyDescent="0.25"/>
  <cols>
    <col min="1" max="1" width="21.85546875" bestFit="1" customWidth="1"/>
    <col min="2" max="2" width="28.5703125" bestFit="1" customWidth="1"/>
    <col min="3" max="3" width="30.85546875" bestFit="1" customWidth="1"/>
    <col min="4" max="4" width="15.42578125" bestFit="1" customWidth="1"/>
    <col min="5" max="5" width="16.28515625" bestFit="1" customWidth="1"/>
    <col min="6" max="6" width="22.42578125" bestFit="1" customWidth="1"/>
    <col min="7" max="7" width="21.85546875" bestFit="1" customWidth="1"/>
    <col min="8" max="8" width="21.140625" bestFit="1" customWidth="1"/>
    <col min="9" max="9" width="14" customWidth="1"/>
    <col min="10" max="10" width="23.140625" customWidth="1"/>
    <col min="11" max="11" width="7" customWidth="1"/>
    <col min="12" max="12" width="37.28515625" customWidth="1"/>
    <col min="13" max="13" width="27.42578125" bestFit="1" customWidth="1"/>
    <col min="14" max="14" width="22.140625" customWidth="1"/>
    <col min="15" max="15" width="45" customWidth="1"/>
    <col min="16" max="16" width="55" customWidth="1"/>
  </cols>
  <sheetData>
    <row r="1" spans="1:1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 x14ac:dyDescent="0.25">
      <c r="A2" s="4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/>
      <c r="G2" s="2">
        <v>4200</v>
      </c>
      <c r="H2" s="3">
        <v>44630</v>
      </c>
      <c r="I2" s="12" t="str">
        <f>LEFT(Ativos[[#This Row],[Codigo_Legado]],3)</f>
        <v>PRD</v>
      </c>
      <c r="J2" s="12" t="str">
        <f>MID(Ativos[[#This Row],[Codigo_Legado]],5,4)</f>
        <v>2022</v>
      </c>
      <c r="K2" s="12" t="str">
        <f>RIGHT(Ativos[[#This Row],[Codigo_Legado]],2)</f>
        <v>RJ</v>
      </c>
      <c r="L2" s="12" t="str">
        <f>TRIM(PROPER(Ativos[[#This Row],[Nome_Responsavel]]))</f>
        <v>Marcele Souza Silva</v>
      </c>
      <c r="M2" s="12" t="str">
        <f>LOWER(TRIM(Ativos[[#This Row],[Email_Responsavel]]))</f>
        <v>marcele.silva@gmail.com</v>
      </c>
      <c r="N2" s="12" t="str">
        <f>UPPER(Ativos[[#This Row],[Categoria]])</f>
        <v>EQUIPAMENTO</v>
      </c>
      <c r="O2" s="12" t="str">
        <f>_xlfn.TEXTJOIN(", ",TRUE,Ativos[[#This Row],[Fabricante]],Ativos[[#This Row],[Observacao]])</f>
        <v>Bosch</v>
      </c>
      <c r="P2" s="13" t="str">
        <f>"Ativo adquirido em " &amp; TEXT(Ativos[[#This Row],[Data_Aquisicao]], "DD/MM/AAAA") &amp; " por R$ " &amp; TEXT(Ativos[[#This Row],[Valor_Aquisicao]], "##.###,00") &amp; "."</f>
        <v>Ativo adquirido em 10/03/2022 por R$ 4.200,00.</v>
      </c>
    </row>
    <row r="3" spans="1:16" x14ac:dyDescent="0.25">
      <c r="A3" s="4" t="s">
        <v>21</v>
      </c>
      <c r="B3" s="1" t="s">
        <v>22</v>
      </c>
      <c r="C3" s="1" t="s">
        <v>23</v>
      </c>
      <c r="D3" s="1" t="s">
        <v>24</v>
      </c>
      <c r="E3" s="1"/>
      <c r="F3" s="1" t="s">
        <v>25</v>
      </c>
      <c r="G3" s="2">
        <v>18500</v>
      </c>
      <c r="H3" s="3">
        <v>45092</v>
      </c>
      <c r="I3" s="12" t="str">
        <f>LEFT(Ativos[[#This Row],[Codigo_Legado]],3)</f>
        <v>ENG</v>
      </c>
      <c r="J3" s="12" t="str">
        <f>MID(Ativos[[#This Row],[Codigo_Legado]],5,4)</f>
        <v>2023</v>
      </c>
      <c r="K3" s="12" t="str">
        <f>RIGHT(Ativos[[#This Row],[Codigo_Legado]],2)</f>
        <v>SP</v>
      </c>
      <c r="L3" s="12" t="str">
        <f>TRIM(PROPER(Ativos[[#This Row],[Nome_Responsavel]]))</f>
        <v>João Pedro Almeida</v>
      </c>
      <c r="M3" s="12" t="str">
        <f>LOWER(TRIM(Ativos[[#This Row],[Email_Responsavel]]))</f>
        <v>joaopedro@hotmail.com</v>
      </c>
      <c r="N3" s="12" t="str">
        <f>UPPER(Ativos[[#This Row],[Categoria]])</f>
        <v>MAQUINARIO</v>
      </c>
      <c r="O3" s="12" t="str">
        <f>_xlfn.TEXTJOIN(", ",TRUE,Ativos[[#This Row],[Fabricante]],Ativos[[#This Row],[Observacao]])</f>
        <v>Revisão anual</v>
      </c>
      <c r="P3" s="13" t="str">
        <f>"Ativo adquirido em " &amp; TEXT(Ativos[[#This Row],[Data_Aquisicao]], "DD/MM/AAAA") &amp; " por R$ " &amp; TEXT(Ativos[[#This Row],[Valor_Aquisicao]], "##.###,00") &amp; "."</f>
        <v>Ativo adquirido em 15/06/2023 por R$ 18.500,00.</v>
      </c>
    </row>
    <row r="4" spans="1:16" x14ac:dyDescent="0.25">
      <c r="A4" s="4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/>
      <c r="G4" s="2">
        <v>890.5</v>
      </c>
      <c r="H4" s="3">
        <v>44441</v>
      </c>
      <c r="I4" s="12" t="str">
        <f>LEFT(Ativos[[#This Row],[Codigo_Legado]],3)</f>
        <v>MNT</v>
      </c>
      <c r="J4" s="12" t="str">
        <f>MID(Ativos[[#This Row],[Codigo_Legado]],5,4)</f>
        <v>2021</v>
      </c>
      <c r="K4" s="12" t="str">
        <f>RIGHT(Ativos[[#This Row],[Codigo_Legado]],2)</f>
        <v>RJ</v>
      </c>
      <c r="L4" s="12" t="str">
        <f>TRIM(PROPER(Ativos[[#This Row],[Nome_Responsavel]]))</f>
        <v>Ana Carolina Souza</v>
      </c>
      <c r="M4" s="12" t="str">
        <f>LOWER(TRIM(Ativos[[#This Row],[Email_Responsavel]]))</f>
        <v>ana.souza@outlook.com</v>
      </c>
      <c r="N4" s="12" t="str">
        <f>UPPER(Ativos[[#This Row],[Categoria]])</f>
        <v>FERRAMENTA</v>
      </c>
      <c r="O4" s="12" t="str">
        <f>_xlfn.TEXTJOIN(", ",TRUE,Ativos[[#This Row],[Fabricante]],Ativos[[#This Row],[Observacao]])</f>
        <v>Makita</v>
      </c>
      <c r="P4" s="13" t="str">
        <f>"Ativo adquirido em " &amp; TEXT(Ativos[[#This Row],[Data_Aquisicao]], "DD/MM/AAAA") &amp; " por R$ " &amp; TEXT(Ativos[[#This Row],[Valor_Aquisicao]], "##.###,00") &amp; "."</f>
        <v>Ativo adquirido em 02/09/2021 por R$ 890,50.</v>
      </c>
    </row>
    <row r="5" spans="1:16" x14ac:dyDescent="0.25">
      <c r="A5" s="4" t="s">
        <v>31</v>
      </c>
      <c r="B5" s="1" t="s">
        <v>32</v>
      </c>
      <c r="C5" s="1" t="s">
        <v>33</v>
      </c>
      <c r="D5" s="1" t="s">
        <v>34</v>
      </c>
      <c r="E5" s="1"/>
      <c r="F5" s="1" t="s">
        <v>35</v>
      </c>
      <c r="G5" s="2">
        <v>42000</v>
      </c>
      <c r="H5" s="3">
        <v>45311</v>
      </c>
      <c r="I5" s="12" t="str">
        <f>LEFT(Ativos[[#This Row],[Codigo_Legado]],3)</f>
        <v>SUP</v>
      </c>
      <c r="J5" s="12" t="str">
        <f>MID(Ativos[[#This Row],[Codigo_Legado]],5,4)</f>
        <v>2024</v>
      </c>
      <c r="K5" s="12" t="str">
        <f>RIGHT(Ativos[[#This Row],[Codigo_Legado]],2)</f>
        <v>MG</v>
      </c>
      <c r="L5" s="12" t="str">
        <f>TRIM(PROPER(Ativos[[#This Row],[Nome_Responsavel]]))</f>
        <v>Carlos Henrique Santos</v>
      </c>
      <c r="M5" s="12" t="str">
        <f>LOWER(TRIM(Ativos[[#This Row],[Email_Responsavel]]))</f>
        <v>carlos.santos@yahoo.com</v>
      </c>
      <c r="N5" s="12" t="str">
        <f>UPPER(Ativos[[#This Row],[Categoria]])</f>
        <v>VEICULO</v>
      </c>
      <c r="O5" s="12" t="str">
        <f>_xlfn.TEXTJOIN(", ",TRUE,Ativos[[#This Row],[Fabricante]],Ativos[[#This Row],[Observacao]])</f>
        <v>Uso exclusivo logística</v>
      </c>
      <c r="P5" s="13" t="str">
        <f>"Ativo adquirido em " &amp; TEXT(Ativos[[#This Row],[Data_Aquisicao]], "DD/MM/AAAA") &amp; " por R$ " &amp; TEXT(Ativos[[#This Row],[Valor_Aquisicao]], "##.###,00") &amp; "."</f>
        <v>Ativo adquirido em 20/01/2024 por R$ 42.000,00.</v>
      </c>
    </row>
    <row r="6" spans="1:16" x14ac:dyDescent="0.25">
      <c r="A6" s="4" t="s">
        <v>36</v>
      </c>
      <c r="B6" s="1" t="s">
        <v>37</v>
      </c>
      <c r="C6" s="1" t="s">
        <v>38</v>
      </c>
      <c r="D6" s="1" t="s">
        <v>19</v>
      </c>
      <c r="E6" s="1" t="s">
        <v>39</v>
      </c>
      <c r="F6" s="1"/>
      <c r="G6" s="2">
        <v>6700</v>
      </c>
      <c r="H6" s="3">
        <v>44140</v>
      </c>
      <c r="I6" s="12" t="str">
        <f>LEFT(Ativos[[#This Row],[Codigo_Legado]],3)</f>
        <v>TIN</v>
      </c>
      <c r="J6" s="12" t="str">
        <f>MID(Ativos[[#This Row],[Codigo_Legado]],5,4)</f>
        <v>2020</v>
      </c>
      <c r="K6" s="12" t="str">
        <f>RIGHT(Ativos[[#This Row],[Codigo_Legado]],2)</f>
        <v>RJ</v>
      </c>
      <c r="L6" s="12" t="str">
        <f>TRIM(PROPER(Ativos[[#This Row],[Nome_Responsavel]]))</f>
        <v>Fernanda Lima Rocha</v>
      </c>
      <c r="M6" s="12" t="str">
        <f>LOWER(TRIM(Ativos[[#This Row],[Email_Responsavel]]))</f>
        <v>fernanda.rocha@gmail.com</v>
      </c>
      <c r="N6" s="12" t="str">
        <f>UPPER(Ativos[[#This Row],[Categoria]])</f>
        <v>EQUIPAMENTO</v>
      </c>
      <c r="O6" s="12" t="str">
        <f>_xlfn.TEXTJOIN(", ",TRUE,Ativos[[#This Row],[Fabricante]],Ativos[[#This Row],[Observacao]])</f>
        <v>Dell</v>
      </c>
      <c r="P6" s="13" t="str">
        <f>"Ativo adquirido em " &amp; TEXT(Ativos[[#This Row],[Data_Aquisicao]], "DD/MM/AAAA") &amp; " por R$ " &amp; TEXT(Ativos[[#This Row],[Valor_Aquisicao]], "##.###,00") &amp; "."</f>
        <v>Ativo adquirido em 05/11/2020 por R$ 6.700,00.</v>
      </c>
    </row>
    <row r="7" spans="1:16" x14ac:dyDescent="0.25">
      <c r="A7" s="4" t="s">
        <v>40</v>
      </c>
      <c r="B7" s="1" t="s">
        <v>41</v>
      </c>
      <c r="C7" s="1" t="s">
        <v>42</v>
      </c>
      <c r="D7" s="1" t="s">
        <v>24</v>
      </c>
      <c r="E7" s="1" t="s">
        <v>43</v>
      </c>
      <c r="F7" s="1" t="s">
        <v>44</v>
      </c>
      <c r="G7" s="2">
        <v>19800</v>
      </c>
      <c r="H7" s="3">
        <v>45125</v>
      </c>
      <c r="I7" s="12" t="str">
        <f>LEFT(Ativos[[#This Row],[Codigo_Legado]],3)</f>
        <v>PRD</v>
      </c>
      <c r="J7" s="12" t="str">
        <f>MID(Ativos[[#This Row],[Codigo_Legado]],5,4)</f>
        <v>2023</v>
      </c>
      <c r="K7" s="12" t="str">
        <f>RIGHT(Ativos[[#This Row],[Codigo_Legado]],2)</f>
        <v>RJ</v>
      </c>
      <c r="L7" s="12" t="str">
        <f>TRIM(PROPER(Ativos[[#This Row],[Nome_Responsavel]]))</f>
        <v>Bruno Alves Costa</v>
      </c>
      <c r="M7" s="12" t="str">
        <f>LOWER(TRIM(Ativos[[#This Row],[Email_Responsavel]]))</f>
        <v>bruno.costa@hotmail.com</v>
      </c>
      <c r="N7" s="12" t="str">
        <f>UPPER(Ativos[[#This Row],[Categoria]])</f>
        <v>MAQUINARIO</v>
      </c>
      <c r="O7" s="12" t="str">
        <f>_xlfn.TEXTJOIN(", ",TRUE,Ativos[[#This Row],[Fabricante]],Ativos[[#This Row],[Observacao]])</f>
        <v>WEG, Instalação em julho</v>
      </c>
      <c r="P7" s="13" t="str">
        <f>"Ativo adquirido em " &amp; TEXT(Ativos[[#This Row],[Data_Aquisicao]], "DD/MM/AAAA") &amp; " por R$ " &amp; TEXT(Ativos[[#This Row],[Valor_Aquisicao]], "##.###,00") &amp; "."</f>
        <v>Ativo adquirido em 18/07/2023 por R$ 19.800,00.</v>
      </c>
    </row>
    <row r="8" spans="1:16" x14ac:dyDescent="0.25">
      <c r="A8" s="4" t="s">
        <v>45</v>
      </c>
      <c r="B8" s="1" t="s">
        <v>46</v>
      </c>
      <c r="C8" s="1" t="s">
        <v>47</v>
      </c>
      <c r="D8" s="1" t="s">
        <v>29</v>
      </c>
      <c r="E8" s="1"/>
      <c r="F8" s="1"/>
      <c r="G8" s="2">
        <v>2900</v>
      </c>
      <c r="H8" s="3">
        <v>44660</v>
      </c>
      <c r="I8" s="12" t="str">
        <f>LEFT(Ativos[[#This Row],[Codigo_Legado]],3)</f>
        <v>ENG</v>
      </c>
      <c r="J8" s="12" t="str">
        <f>MID(Ativos[[#This Row],[Codigo_Legado]],5,4)</f>
        <v>2022</v>
      </c>
      <c r="K8" s="12" t="str">
        <f>RIGHT(Ativos[[#This Row],[Codigo_Legado]],2)</f>
        <v>SP</v>
      </c>
      <c r="L8" s="12" t="str">
        <f>TRIM(PROPER(Ativos[[#This Row],[Nome_Responsavel]]))</f>
        <v>Julia Martins Pereira</v>
      </c>
      <c r="M8" s="12" t="str">
        <f>LOWER(TRIM(Ativos[[#This Row],[Email_Responsavel]]))</f>
        <v>julia.pereira@gmail.com</v>
      </c>
      <c r="N8" s="12" t="str">
        <f>UPPER(Ativos[[#This Row],[Categoria]])</f>
        <v>FERRAMENTA</v>
      </c>
      <c r="O8" s="12" t="str">
        <f>_xlfn.TEXTJOIN(", ",TRUE,Ativos[[#This Row],[Fabricante]],Ativos[[#This Row],[Observacao]])</f>
        <v/>
      </c>
      <c r="P8" s="13" t="str">
        <f>"Ativo adquirido em " &amp; TEXT(Ativos[[#This Row],[Data_Aquisicao]], "DD/MM/AAAA") &amp; " por R$ " &amp; TEXT(Ativos[[#This Row],[Valor_Aquisicao]], "##.###,00") &amp; "."</f>
        <v>Ativo adquirido em 09/04/2022 por R$ 2.900,00.</v>
      </c>
    </row>
    <row r="9" spans="1:16" x14ac:dyDescent="0.25">
      <c r="A9" s="4" t="s">
        <v>48</v>
      </c>
      <c r="B9" s="1" t="s">
        <v>49</v>
      </c>
      <c r="C9" s="1" t="s">
        <v>50</v>
      </c>
      <c r="D9" s="1" t="s">
        <v>19</v>
      </c>
      <c r="E9" s="1" t="s">
        <v>51</v>
      </c>
      <c r="F9" s="1"/>
      <c r="G9" s="2">
        <v>5120</v>
      </c>
      <c r="H9" s="3">
        <v>45336</v>
      </c>
      <c r="I9" s="12" t="str">
        <f>LEFT(Ativos[[#This Row],[Codigo_Legado]],3)</f>
        <v>MNT</v>
      </c>
      <c r="J9" s="12" t="str">
        <f>MID(Ativos[[#This Row],[Codigo_Legado]],5,4)</f>
        <v>2024</v>
      </c>
      <c r="K9" s="12" t="str">
        <f>RIGHT(Ativos[[#This Row],[Codigo_Legado]],2)</f>
        <v>RJ</v>
      </c>
      <c r="L9" s="12" t="str">
        <f>TRIM(PROPER(Ativos[[#This Row],[Nome_Responsavel]]))</f>
        <v>Rafael Nunes Dias</v>
      </c>
      <c r="M9" s="12" t="str">
        <f>LOWER(TRIM(Ativos[[#This Row],[Email_Responsavel]]))</f>
        <v>rafael.dias@outlook.com</v>
      </c>
      <c r="N9" s="12" t="str">
        <f>UPPER(Ativos[[#This Row],[Categoria]])</f>
        <v>EQUIPAMENTO</v>
      </c>
      <c r="O9" s="12" t="str">
        <f>_xlfn.TEXTJOIN(", ",TRUE,Ativos[[#This Row],[Fabricante]],Ativos[[#This Row],[Observacao]])</f>
        <v>Lenovo</v>
      </c>
      <c r="P9" s="13" t="str">
        <f>"Ativo adquirido em " &amp; TEXT(Ativos[[#This Row],[Data_Aquisicao]], "DD/MM/AAAA") &amp; " por R$ " &amp; TEXT(Ativos[[#This Row],[Valor_Aquisicao]], "##.###,00") &amp; "."</f>
        <v>Ativo adquirido em 14/02/2024 por R$ 5.120,00.</v>
      </c>
    </row>
    <row r="10" spans="1:16" x14ac:dyDescent="0.25">
      <c r="A10" s="4" t="s">
        <v>52</v>
      </c>
      <c r="B10" s="1" t="s">
        <v>53</v>
      </c>
      <c r="C10" s="1" t="s">
        <v>54</v>
      </c>
      <c r="D10" s="1" t="s">
        <v>34</v>
      </c>
      <c r="E10" s="1" t="s">
        <v>55</v>
      </c>
      <c r="F10" s="1" t="s">
        <v>56</v>
      </c>
      <c r="G10" s="2">
        <v>35000</v>
      </c>
      <c r="H10" s="3">
        <v>44438</v>
      </c>
      <c r="I10" s="12" t="str">
        <f>LEFT(Ativos[[#This Row],[Codigo_Legado]],3)</f>
        <v>SUP</v>
      </c>
      <c r="J10" s="12" t="str">
        <f>MID(Ativos[[#This Row],[Codigo_Legado]],5,4)</f>
        <v>2021</v>
      </c>
      <c r="K10" s="12" t="str">
        <f>RIGHT(Ativos[[#This Row],[Codigo_Legado]],2)</f>
        <v>RJ</v>
      </c>
      <c r="L10" s="12" t="str">
        <f>TRIM(PROPER(Ativos[[#This Row],[Nome_Responsavel]]))</f>
        <v>Sophia Cardoso Lima</v>
      </c>
      <c r="M10" s="12" t="str">
        <f>LOWER(TRIM(Ativos[[#This Row],[Email_Responsavel]]))</f>
        <v>sophia.lima@yahoo.com</v>
      </c>
      <c r="N10" s="12" t="str">
        <f>UPPER(Ativos[[#This Row],[Categoria]])</f>
        <v>VEICULO</v>
      </c>
      <c r="O10" s="12" t="str">
        <f>_xlfn.TEXTJOIN(", ",TRUE,Ativos[[#This Row],[Fabricante]],Ativos[[#This Row],[Observacao]])</f>
        <v>Volvo, Frota pesada</v>
      </c>
      <c r="P10" s="13" t="str">
        <f>"Ativo adquirido em " &amp; TEXT(Ativos[[#This Row],[Data_Aquisicao]], "DD/MM/AAAA") &amp; " por R$ " &amp; TEXT(Ativos[[#This Row],[Valor_Aquisicao]], "##.###,00") &amp; "."</f>
        <v>Ativo adquirido em 30/08/2021 por R$ 35.000,00.</v>
      </c>
    </row>
    <row r="11" spans="1:16" x14ac:dyDescent="0.25">
      <c r="A11" s="4" t="s">
        <v>57</v>
      </c>
      <c r="B11" s="1" t="s">
        <v>58</v>
      </c>
      <c r="C11" s="1" t="s">
        <v>59</v>
      </c>
      <c r="D11" s="1" t="s">
        <v>24</v>
      </c>
      <c r="E11" s="1"/>
      <c r="F11" s="1" t="s">
        <v>60</v>
      </c>
      <c r="G11" s="2">
        <v>22500</v>
      </c>
      <c r="H11" s="3">
        <v>43973</v>
      </c>
      <c r="I11" s="12" t="str">
        <f>LEFT(Ativos[[#This Row],[Codigo_Legado]],3)</f>
        <v>PRD</v>
      </c>
      <c r="J11" s="12" t="str">
        <f>MID(Ativos[[#This Row],[Codigo_Legado]],5,4)</f>
        <v>2020</v>
      </c>
      <c r="K11" s="12" t="str">
        <f>RIGHT(Ativos[[#This Row],[Codigo_Legado]],2)</f>
        <v>MG</v>
      </c>
      <c r="L11" s="12" t="str">
        <f>TRIM(PROPER(Ativos[[#This Row],[Nome_Responsavel]]))</f>
        <v>Gabriel Augusto Moreira</v>
      </c>
      <c r="M11" s="12" t="str">
        <f>LOWER(TRIM(Ativos[[#This Row],[Email_Responsavel]]))</f>
        <v>gabriel.moreira@gmail.com</v>
      </c>
      <c r="N11" s="12" t="str">
        <f>UPPER(Ativos[[#This Row],[Categoria]])</f>
        <v>MAQUINARIO</v>
      </c>
      <c r="O11" s="12" t="str">
        <f>_xlfn.TEXTJOIN(", ",TRUE,Ativos[[#This Row],[Fabricante]],Ativos[[#This Row],[Observacao]])</f>
        <v>Substituição de linha</v>
      </c>
      <c r="P11" s="13" t="str">
        <f>"Ativo adquirido em " &amp; TEXT(Ativos[[#This Row],[Data_Aquisicao]], "DD/MM/AAAA") &amp; " por R$ " &amp; TEXT(Ativos[[#This Row],[Valor_Aquisicao]], "##.###,00") &amp; "."</f>
        <v>Ativo adquirido em 22/05/2020 por R$ 22.500,00.</v>
      </c>
    </row>
    <row r="12" spans="1:16" x14ac:dyDescent="0.25">
      <c r="A12" s="4" t="s">
        <v>61</v>
      </c>
      <c r="B12" s="1" t="s">
        <v>62</v>
      </c>
      <c r="C12" s="1" t="s">
        <v>63</v>
      </c>
      <c r="D12" s="1" t="s">
        <v>29</v>
      </c>
      <c r="E12" s="1" t="s">
        <v>64</v>
      </c>
      <c r="F12" s="1"/>
      <c r="G12" s="2">
        <v>1200</v>
      </c>
      <c r="H12" s="3">
        <v>45210</v>
      </c>
      <c r="I12" s="12" t="str">
        <f>LEFT(Ativos[[#This Row],[Codigo_Legado]],3)</f>
        <v>TIN</v>
      </c>
      <c r="J12" s="12" t="str">
        <f>MID(Ativos[[#This Row],[Codigo_Legado]],5,4)</f>
        <v>2023</v>
      </c>
      <c r="K12" s="12" t="str">
        <f>RIGHT(Ativos[[#This Row],[Codigo_Legado]],2)</f>
        <v>RJ</v>
      </c>
      <c r="L12" s="12" t="str">
        <f>TRIM(PROPER(Ativos[[#This Row],[Nome_Responsavel]]))</f>
        <v>Beatriz Fernandes Rocha</v>
      </c>
      <c r="M12" s="12" t="str">
        <f>LOWER(TRIM(Ativos[[#This Row],[Email_Responsavel]]))</f>
        <v>beatriz.rocha@hotmail.com</v>
      </c>
      <c r="N12" s="12" t="str">
        <f>UPPER(Ativos[[#This Row],[Categoria]])</f>
        <v>FERRAMENTA</v>
      </c>
      <c r="O12" s="12" t="str">
        <f>_xlfn.TEXTJOIN(", ",TRUE,Ativos[[#This Row],[Fabricante]],Ativos[[#This Row],[Observacao]])</f>
        <v>Stanley</v>
      </c>
      <c r="P12" s="13" t="str">
        <f>"Ativo adquirido em " &amp; TEXT(Ativos[[#This Row],[Data_Aquisicao]], "DD/MM/AAAA") &amp; " por R$ " &amp; TEXT(Ativos[[#This Row],[Valor_Aquisicao]], "##.###,00") &amp; "."</f>
        <v>Ativo adquirido em 11/10/2023 por R$ 1.200,00.</v>
      </c>
    </row>
    <row r="13" spans="1:16" x14ac:dyDescent="0.25">
      <c r="A13" s="8" t="s">
        <v>65</v>
      </c>
      <c r="B13" s="9" t="s">
        <v>66</v>
      </c>
      <c r="C13" s="9" t="s">
        <v>67</v>
      </c>
      <c r="D13" s="9" t="s">
        <v>19</v>
      </c>
      <c r="E13" s="9"/>
      <c r="F13" s="9"/>
      <c r="G13" s="10">
        <v>3100</v>
      </c>
      <c r="H13" s="11">
        <v>44898</v>
      </c>
      <c r="I13" s="14" t="str">
        <f>LEFT(Ativos[[#This Row],[Codigo_Legado]],3)</f>
        <v>MNT</v>
      </c>
      <c r="J13" s="14" t="str">
        <f>MID(Ativos[[#This Row],[Codigo_Legado]],5,4)</f>
        <v>2022</v>
      </c>
      <c r="K13" s="14" t="str">
        <f>RIGHT(Ativos[[#This Row],[Codigo_Legado]],2)</f>
        <v>SP</v>
      </c>
      <c r="L13" s="14" t="str">
        <f>TRIM(PROPER(Ativos[[#This Row],[Nome_Responsavel]]))</f>
        <v>Thiago Barbosa Santos</v>
      </c>
      <c r="M13" s="14" t="str">
        <f>LOWER(TRIM(Ativos[[#This Row],[Email_Responsavel]]))</f>
        <v>thiago.santos@outlook.com</v>
      </c>
      <c r="N13" s="14" t="str">
        <f>UPPER(Ativos[[#This Row],[Categoria]])</f>
        <v>EQUIPAMENTO</v>
      </c>
      <c r="O13" s="14" t="str">
        <f>_xlfn.TEXTJOIN(", ",TRUE,Ativos[[#This Row],[Fabricante]],Ativos[[#This Row],[Observacao]])</f>
        <v/>
      </c>
      <c r="P13" s="15" t="str">
        <f>"Ativo adquirido em " &amp; TEXT(Ativos[[#This Row],[Data_Aquisicao]], "DD/MM/AAAA") &amp; " por R$ " &amp; TEXT(Ativos[[#This Row],[Valor_Aquisicao]], "##.###,00") &amp; "."</f>
        <v>Ativo adquirido em 03/12/2022 por R$ 3.100,00.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16</vt:i4>
      </vt:variant>
    </vt:vector>
  </HeadingPairs>
  <TitlesOfParts>
    <vt:vector size="17" baseType="lpstr">
      <vt:lpstr>Ativos</vt:lpstr>
      <vt:lpstr>Ano_Aquisicao_Cod</vt:lpstr>
      <vt:lpstr>Categoria</vt:lpstr>
      <vt:lpstr>Categoria_Sistema</vt:lpstr>
      <vt:lpstr>Codigo_Legado</vt:lpstr>
      <vt:lpstr>Data_Aquisicao</vt:lpstr>
      <vt:lpstr>Descricao_Completa</vt:lpstr>
      <vt:lpstr>Email_Padronizado</vt:lpstr>
      <vt:lpstr>Email_Responsavel</vt:lpstr>
      <vt:lpstr>Fabricante</vt:lpstr>
      <vt:lpstr>Nome_Responsavel</vt:lpstr>
      <vt:lpstr>Nome_Responsavel_Padronizado</vt:lpstr>
      <vt:lpstr>Observacao</vt:lpstr>
      <vt:lpstr>Resumo_Aquisicao</vt:lpstr>
      <vt:lpstr>Setor_Cod</vt:lpstr>
      <vt:lpstr>UF</vt:lpstr>
      <vt:lpstr>Valor_Aquisicao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2026-09-08T11:53:15Z</dcterms:created>
  <dcterms:modified xsi:type="dcterms:W3CDTF">2026-09-09T18:29:14Z</dcterms:modified>
  <dc:language>en-US</dc:language>
</cp:coreProperties>
</file>