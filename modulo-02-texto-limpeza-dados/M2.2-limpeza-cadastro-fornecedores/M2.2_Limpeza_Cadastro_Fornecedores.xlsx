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xr:revisionPtr revIDLastSave="27" documentId="11_F1DF3DD9E6EB809493365BC90E976BF474AEA77A" xr6:coauthVersionLast="47" xr6:coauthVersionMax="47" xr10:uidLastSave="{E72E40B0-5287-F840-B3BE-BA71FB76C57C}"/>
  <bookViews>
    <workbookView xWindow="0" yWindow="0" windowWidth="16384" windowHeight="8192" tabRatio="500" xr2:uid="{00000000-000D-0000-FFFF-FFFF00000000}"/>
  </bookViews>
  <sheets>
    <sheet name="Fornecedores_Bruto" sheetId="1" r:id="rId1"/>
  </sheets>
  <definedNames>
    <definedName name="Cidade">Fornecedores_Bruto[Cidade]</definedName>
    <definedName name="ID_Fornecedor">Fornecedores_Bruto[ID_Fornecedor]</definedName>
    <definedName name="Nome_Fornecedor">Fornecedores_Bruto[Nome_Fornecedor]</definedName>
    <definedName name="Nome_Fornecedor_Limpo">Fornecedores_Bruto[Nome_Fornecedor_Limpo]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7" i="1" l="1"/>
  <c r="D18" i="1"/>
  <c r="D2" i="1"/>
  <c r="D3" i="1"/>
  <c r="D4" i="1"/>
  <c r="D5" i="1"/>
  <c r="D6" i="1"/>
  <c r="D7" i="1"/>
  <c r="D8" i="1"/>
  <c r="D9" i="1"/>
  <c r="D10" i="1"/>
  <c r="D11" i="1"/>
  <c r="D12" i="1"/>
  <c r="D13" i="1"/>
</calcChain>
</file>

<file path=xl/sharedStrings.xml><?xml version="1.0" encoding="utf-8"?>
<sst xmlns="http://schemas.openxmlformats.org/spreadsheetml/2006/main" count="43" uniqueCount="37">
  <si>
    <t>ID_Fornecedor</t>
  </si>
  <si>
    <t>Nome_Fornecedor</t>
  </si>
  <si>
    <t>Cidade</t>
  </si>
  <si>
    <t>Nome_Fornecedor_Limpo</t>
  </si>
  <si>
    <t>F001</t>
  </si>
  <si>
    <t xml:space="preserve">  Aços do Brasil</t>
  </si>
  <si>
    <t>Rio de Janeiro</t>
  </si>
  <si>
    <t>F002</t>
  </si>
  <si>
    <t xml:space="preserve">Solda Forte Ltda  </t>
  </si>
  <si>
    <t>São Paulo</t>
  </si>
  <si>
    <t>F003</t>
  </si>
  <si>
    <t>EPI  Segurança SA</t>
  </si>
  <si>
    <t>F004</t>
  </si>
  <si>
    <t xml:space="preserve"> Ferramentas Tec </t>
  </si>
  <si>
    <t>Belo Horizonte</t>
  </si>
  <si>
    <t>F005</t>
  </si>
  <si>
    <t>Elétrica  Nuclear Ltda</t>
  </si>
  <si>
    <t>F006</t>
  </si>
  <si>
    <t xml:space="preserve">Metalúrgica Sul  </t>
  </si>
  <si>
    <t>Porto Alegre</t>
  </si>
  <si>
    <t>F007</t>
  </si>
  <si>
    <t xml:space="preserve">  Válvulas &amp; Cia</t>
  </si>
  <si>
    <t>F008</t>
  </si>
  <si>
    <t>Rolamentos   Industrial</t>
  </si>
  <si>
    <t>F009</t>
  </si>
  <si>
    <t xml:space="preserve"> Tintas Anticorrosivas SA</t>
  </si>
  <si>
    <t>F010</t>
  </si>
  <si>
    <t>Isolamento Térmico  Nacional</t>
  </si>
  <si>
    <t>F011</t>
  </si>
  <si>
    <t xml:space="preserve">Aço  Fino  Especial </t>
  </si>
  <si>
    <t>F012</t>
  </si>
  <si>
    <t xml:space="preserve"> Bombas e Compressores</t>
  </si>
  <si>
    <t>Teste de Busca</t>
  </si>
  <si>
    <t>XLOOKUP buscando 'Solda Forte Ltda' na coluna SUJA:</t>
  </si>
  <si>
    <t>XLOOKUP buscando 'Solda Forte Ltda' na coluna LIMPA: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</si>
</sst>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i/>
      <sz val="11"/>
      <color theme="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3" fillId="0" borderId="0" xfId="0" applyFont="1"/>
    <xf numFmtId="0" fontId="2" fillId="0" borderId="0" xfId="0" applyFont="1"/>
    <xf numFmtId="0" fontId="2" fillId="0" borderId="2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4" fillId="0" borderId="3" xfId="0" applyFont="1" applyBorder="1"/>
    <xf numFmtId="0" fontId="4" fillId="0" borderId="9" xfId="0" applyFont="1" applyBorder="1"/>
  </cellXfs>
  <cellStyles count="1">
    <cellStyle name="Normal" xfId="0" builtinId="0"/>
  </cellStyles>
  <dxfs count="8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charset val="1"/>
        <scheme val="none"/>
      </font>
      <numFmt numFmtId="0" formatCode="General"/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5676AE-ACF6-AC40-B2C4-5E3C57EF3449}" name="Fornecedores_Bruto" displayName="Fornecedores_Bruto" ref="A1:D13" totalsRowShown="0" headerRowDxfId="7" headerRowBorderDxfId="6" tableBorderDxfId="5" totalsRowBorderDxfId="4">
  <autoFilter ref="A1:D13" xr:uid="{215676AE-ACF6-AC40-B2C4-5E3C57EF3449}"/>
  <tableColumns count="4">
    <tableColumn id="1" xr3:uid="{13B518FF-6E53-B043-BFEB-8568F878ADB5}" name="ID_Fornecedor" dataDxfId="3"/>
    <tableColumn id="2" xr3:uid="{85514CDD-512E-834D-B5B3-6A3864392157}" name="Nome_Fornecedor" dataDxfId="2"/>
    <tableColumn id="3" xr3:uid="{6A7FE4EE-6795-2244-8761-34B539CF6D27}" name="Cidade" dataDxfId="1"/>
    <tableColumn id="4" xr3:uid="{48C40F63-2834-B44A-88E7-F6D0825BCB8D}" name="Nome_Fornecedor_Limpo" dataDxfId="0">
      <calculatedColumnFormula>TRIM(Fornecedores_Bruto[[#This Row],[Nome_Fornecedor]])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zoomScaleNormal="100" workbookViewId="0">
      <pane ySplit="1" topLeftCell="A2" activePane="bottomLeft" state="frozen"/>
      <selection pane="bottomLeft" activeCell="D18" sqref="D18"/>
    </sheetView>
  </sheetViews>
  <sheetFormatPr defaultColWidth="8.7421875" defaultRowHeight="15" x14ac:dyDescent="0.2"/>
  <cols>
    <col min="1" max="1" width="17.3515625" customWidth="1"/>
    <col min="2" max="2" width="29.99609375" customWidth="1"/>
    <col min="3" max="3" width="18.0234375" customWidth="1"/>
    <col min="4" max="4" width="28.25" customWidth="1"/>
  </cols>
  <sheetData>
    <row r="1" spans="1:4" x14ac:dyDescent="0.2">
      <c r="A1" s="5" t="s">
        <v>0</v>
      </c>
      <c r="B1" s="6" t="s">
        <v>1</v>
      </c>
      <c r="C1" s="6" t="s">
        <v>2</v>
      </c>
      <c r="D1" s="7" t="s">
        <v>3</v>
      </c>
    </row>
    <row r="2" spans="1:4" x14ac:dyDescent="0.2">
      <c r="A2" s="4" t="s">
        <v>4</v>
      </c>
      <c r="B2" s="1" t="s">
        <v>5</v>
      </c>
      <c r="C2" s="1" t="s">
        <v>6</v>
      </c>
      <c r="D2" s="10" t="str">
        <f>TRIM(Fornecedores_Bruto[[#This Row],[Nome_Fornecedor]])</f>
        <v>Aços do Brasil</v>
      </c>
    </row>
    <row r="3" spans="1:4" x14ac:dyDescent="0.2">
      <c r="A3" s="4" t="s">
        <v>7</v>
      </c>
      <c r="B3" s="1" t="s">
        <v>8</v>
      </c>
      <c r="C3" s="1" t="s">
        <v>9</v>
      </c>
      <c r="D3" s="10" t="str">
        <f>TRIM(Fornecedores_Bruto[[#This Row],[Nome_Fornecedor]])</f>
        <v>Solda Forte Ltda</v>
      </c>
    </row>
    <row r="4" spans="1:4" x14ac:dyDescent="0.2">
      <c r="A4" s="4" t="s">
        <v>10</v>
      </c>
      <c r="B4" s="1" t="s">
        <v>11</v>
      </c>
      <c r="C4" s="1" t="s">
        <v>6</v>
      </c>
      <c r="D4" s="10" t="str">
        <f>TRIM(Fornecedores_Bruto[[#This Row],[Nome_Fornecedor]])</f>
        <v>EPI Segurança SA</v>
      </c>
    </row>
    <row r="5" spans="1:4" x14ac:dyDescent="0.2">
      <c r="A5" s="4" t="s">
        <v>12</v>
      </c>
      <c r="B5" s="1" t="s">
        <v>13</v>
      </c>
      <c r="C5" s="1" t="s">
        <v>14</v>
      </c>
      <c r="D5" s="10" t="str">
        <f>TRIM(Fornecedores_Bruto[[#This Row],[Nome_Fornecedor]])</f>
        <v>Ferramentas Tec</v>
      </c>
    </row>
    <row r="6" spans="1:4" x14ac:dyDescent="0.2">
      <c r="A6" s="4" t="s">
        <v>15</v>
      </c>
      <c r="B6" s="1" t="s">
        <v>16</v>
      </c>
      <c r="C6" s="1" t="s">
        <v>6</v>
      </c>
      <c r="D6" s="10" t="str">
        <f>TRIM(Fornecedores_Bruto[[#This Row],[Nome_Fornecedor]])</f>
        <v>Elétrica Nuclear Ltda</v>
      </c>
    </row>
    <row r="7" spans="1:4" x14ac:dyDescent="0.2">
      <c r="A7" s="4" t="s">
        <v>17</v>
      </c>
      <c r="B7" s="1" t="s">
        <v>18</v>
      </c>
      <c r="C7" s="1" t="s">
        <v>19</v>
      </c>
      <c r="D7" s="10" t="str">
        <f>TRIM(Fornecedores_Bruto[[#This Row],[Nome_Fornecedor]])</f>
        <v>Metalúrgica Sul</v>
      </c>
    </row>
    <row r="8" spans="1:4" x14ac:dyDescent="0.2">
      <c r="A8" s="4" t="s">
        <v>20</v>
      </c>
      <c r="B8" s="1" t="s">
        <v>21</v>
      </c>
      <c r="C8" s="1" t="s">
        <v>9</v>
      </c>
      <c r="D8" s="10" t="str">
        <f>TRIM(Fornecedores_Bruto[[#This Row],[Nome_Fornecedor]])</f>
        <v>Válvulas &amp; Cia</v>
      </c>
    </row>
    <row r="9" spans="1:4" x14ac:dyDescent="0.2">
      <c r="A9" s="4" t="s">
        <v>22</v>
      </c>
      <c r="B9" s="1" t="s">
        <v>23</v>
      </c>
      <c r="C9" s="1" t="s">
        <v>9</v>
      </c>
      <c r="D9" s="10" t="str">
        <f>TRIM(Fornecedores_Bruto[[#This Row],[Nome_Fornecedor]])</f>
        <v>Rolamentos Industrial</v>
      </c>
    </row>
    <row r="10" spans="1:4" x14ac:dyDescent="0.2">
      <c r="A10" s="4" t="s">
        <v>24</v>
      </c>
      <c r="B10" s="1" t="s">
        <v>25</v>
      </c>
      <c r="C10" s="1" t="s">
        <v>6</v>
      </c>
      <c r="D10" s="10" t="str">
        <f>TRIM(Fornecedores_Bruto[[#This Row],[Nome_Fornecedor]])</f>
        <v>Tintas Anticorrosivas SA</v>
      </c>
    </row>
    <row r="11" spans="1:4" x14ac:dyDescent="0.2">
      <c r="A11" s="4" t="s">
        <v>26</v>
      </c>
      <c r="B11" s="1" t="s">
        <v>27</v>
      </c>
      <c r="C11" s="1" t="s">
        <v>14</v>
      </c>
      <c r="D11" s="10" t="str">
        <f>TRIM(Fornecedores_Bruto[[#This Row],[Nome_Fornecedor]])</f>
        <v>Isolamento Térmico Nacional</v>
      </c>
    </row>
    <row r="12" spans="1:4" x14ac:dyDescent="0.2">
      <c r="A12" s="4" t="s">
        <v>28</v>
      </c>
      <c r="B12" s="1" t="s">
        <v>29</v>
      </c>
      <c r="C12" s="1" t="s">
        <v>9</v>
      </c>
      <c r="D12" s="10" t="str">
        <f>TRIM(Fornecedores_Bruto[[#This Row],[Nome_Fornecedor]])</f>
        <v>Aço Fino Especial</v>
      </c>
    </row>
    <row r="13" spans="1:4" x14ac:dyDescent="0.2">
      <c r="A13" s="8" t="s">
        <v>30</v>
      </c>
      <c r="B13" s="9" t="s">
        <v>31</v>
      </c>
      <c r="C13" s="9" t="s">
        <v>6</v>
      </c>
      <c r="D13" s="11" t="str">
        <f>TRIM(Fornecedores_Bruto[[#This Row],[Nome_Fornecedor]])</f>
        <v>Bombas e Compressores</v>
      </c>
    </row>
    <row r="16" spans="1:4" x14ac:dyDescent="0.2">
      <c r="A16" s="2" t="s">
        <v>32</v>
      </c>
    </row>
    <row r="17" spans="1:4" x14ac:dyDescent="0.2">
      <c r="A17" s="3" t="s">
        <v>33</v>
      </c>
      <c r="D17" t="e">
        <f>_xlfn.XLOOKUP(D3, Fornecedores_Bruto[Nome_Fornecedor], Fornecedores_Bruto[ID_Fornecedor])</f>
        <v>#N/A</v>
      </c>
    </row>
    <row r="18" spans="1:4" x14ac:dyDescent="0.2">
      <c r="A18" s="3" t="s">
        <v>34</v>
      </c>
      <c r="D18" t="str">
        <f>_xlfn.XLOOKUP(D3, Fornecedores_Bruto[Nome_Fornecedor_Limpo], Fornecedores_Bruto[ID_Fornecedor])</f>
        <v>F002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iOS</Application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Fornecedores_Bruto</vt:lpstr>
      <vt:lpstr>Cidade</vt:lpstr>
      <vt:lpstr>ID_Fornecedor</vt:lpstr>
      <vt:lpstr>Nome_Fornecedor</vt:lpstr>
      <vt:lpstr>Nome_Fornecedor_Limpo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2026-08-25T20:19:58Z</dcterms:created>
  <dcterms:modified xsi:type="dcterms:W3CDTF">2026-08-25T20:19:58Z</dcterms:modified>
  <dc:language>en-US</dc:language>
</cp:coreProperties>
</file>