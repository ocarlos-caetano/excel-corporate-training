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2d4294ae10ed188/Estudos/Excel/modulo-02-texto-limpeza-dados/"/>
    </mc:Choice>
  </mc:AlternateContent>
  <xr:revisionPtr revIDLastSave="25" documentId="11_F1DF35D166E2D72A8BDCD5FE874F8C714D5C9FB2" xr6:coauthVersionLast="47" xr6:coauthVersionMax="47" xr10:uidLastSave="{EAEA3468-4AA9-4E0E-9BEE-ED23911D5CAB}"/>
  <bookViews>
    <workbookView xWindow="1170" yWindow="1170" windowWidth="28800" windowHeight="11295" tabRatio="500" xr2:uid="{00000000-000D-0000-FFFF-FFFF00000000}"/>
  </bookViews>
  <sheets>
    <sheet name="Estoque_Itens" sheetId="1" r:id="rId1"/>
  </sheets>
  <definedNames>
    <definedName name="Codigo_Localizacao">Estoque_Itens[Codigo_Localizacao]</definedName>
    <definedName name="Corredor">Estoque_Itens[Corredor]</definedName>
    <definedName name="Descricao_Completa">Estoque_Itens[Descricao_Completa]</definedName>
    <definedName name="Fabricante">Estoque_Itens[Fabricante]</definedName>
    <definedName name="ID_Item">Estoque_Itens[ID_Item]</definedName>
    <definedName name="Nome_Item">Estoque_Itens[Nome_Item]</definedName>
    <definedName name="Observacao">Estoque_Itens[Observacao]</definedName>
    <definedName name="Prateleira">Estoque_Itens[Prateleira]</definedName>
    <definedName name="Setor_Cod">Estoque_Itens[Setor_Cod]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" i="1" l="1"/>
  <c r="H2" i="1"/>
  <c r="H3" i="1"/>
  <c r="H4" i="1"/>
  <c r="H5" i="1"/>
  <c r="H6" i="1"/>
  <c r="H7" i="1"/>
  <c r="H8" i="1"/>
  <c r="H9" i="1"/>
  <c r="H10" i="1"/>
  <c r="H11" i="1"/>
  <c r="H12" i="1"/>
  <c r="H13" i="1"/>
  <c r="I3" i="1"/>
  <c r="I4" i="1"/>
  <c r="I5" i="1"/>
  <c r="I6" i="1"/>
  <c r="I7" i="1"/>
  <c r="I8" i="1"/>
  <c r="I9" i="1"/>
  <c r="I10" i="1"/>
  <c r="I11" i="1"/>
  <c r="I12" i="1"/>
  <c r="I13" i="1"/>
</calcChain>
</file>

<file path=xl/sharedStrings.xml><?xml version="1.0" encoding="utf-8"?>
<sst xmlns="http://schemas.openxmlformats.org/spreadsheetml/2006/main" count="81" uniqueCount="64">
  <si>
    <t>ID_Item</t>
  </si>
  <si>
    <t>Setor_Cod</t>
  </si>
  <si>
    <t>Corredor</t>
  </si>
  <si>
    <t>Prateleira</t>
  </si>
  <si>
    <t>Nome_Item</t>
  </si>
  <si>
    <t>Fabricante</t>
  </si>
  <si>
    <t>Observacao</t>
  </si>
  <si>
    <t>Codigo_Localizacao</t>
  </si>
  <si>
    <t>Descricao_Completa</t>
  </si>
  <si>
    <t>IT001</t>
  </si>
  <si>
    <t>PRD</t>
  </si>
  <si>
    <t>A1</t>
  </si>
  <si>
    <t>03</t>
  </si>
  <si>
    <t>Parafuso Sextavado M10</t>
  </si>
  <si>
    <t>Fixadores Brasil</t>
  </si>
  <si>
    <t>IT002</t>
  </si>
  <si>
    <t>MNT</t>
  </si>
  <si>
    <t>B2</t>
  </si>
  <si>
    <t>01</t>
  </si>
  <si>
    <t>Rolamento 6205</t>
  </si>
  <si>
    <t>Uso em esteira 02</t>
  </si>
  <si>
    <t>IT003</t>
  </si>
  <si>
    <t>ENG</t>
  </si>
  <si>
    <t>C1</t>
  </si>
  <si>
    <t>05</t>
  </si>
  <si>
    <t>Cabo Flexível 2.5mm</t>
  </si>
  <si>
    <t>Prysmian</t>
  </si>
  <si>
    <t>IT004</t>
  </si>
  <si>
    <t>07</t>
  </si>
  <si>
    <t>Porca Sextavada M10</t>
  </si>
  <si>
    <t>IT005</t>
  </si>
  <si>
    <t>SUP</t>
  </si>
  <si>
    <t>D3</t>
  </si>
  <si>
    <t>02</t>
  </si>
  <si>
    <t>Luva de Raspa</t>
  </si>
  <si>
    <t>EPI Segurança SA</t>
  </si>
  <si>
    <t>Tamanho G</t>
  </si>
  <si>
    <t>IT006</t>
  </si>
  <si>
    <t>04</t>
  </si>
  <si>
    <t>Correia Industrial</t>
  </si>
  <si>
    <t>Substituição trimestral</t>
  </si>
  <si>
    <t>IT007</t>
  </si>
  <si>
    <t>09</t>
  </si>
  <si>
    <t>Disjuntor 32A</t>
  </si>
  <si>
    <t>WEG</t>
  </si>
  <si>
    <t>IT008</t>
  </si>
  <si>
    <t>A2</t>
  </si>
  <si>
    <t>Arruela Lisa M10</t>
  </si>
  <si>
    <t>IT009</t>
  </si>
  <si>
    <t>06</t>
  </si>
  <si>
    <t>Capacete de Segurança</t>
  </si>
  <si>
    <t>IT010</t>
  </si>
  <si>
    <t>B3</t>
  </si>
  <si>
    <t>Óleo Lubrificante 20L</t>
  </si>
  <si>
    <t>Lubrax</t>
  </si>
  <si>
    <t>Estoque mínimo 5 un</t>
  </si>
  <si>
    <t>IT011</t>
  </si>
  <si>
    <t>C2</t>
  </si>
  <si>
    <t>Fusível 10A</t>
  </si>
  <si>
    <t>IT012</t>
  </si>
  <si>
    <t>08</t>
  </si>
  <si>
    <t>Chapa de Aço 5mm</t>
  </si>
  <si>
    <t>Aços do Brasil</t>
  </si>
  <si>
    <t>Corte sob 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</si>
</sst>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0" borderId="1" xfId="0" applyFont="1" applyBorder="1"/>
    <xf numFmtId="0" fontId="3" fillId="0" borderId="8" xfId="0" applyFont="1" applyBorder="1"/>
    <xf numFmtId="0" fontId="3" fillId="0" borderId="3" xfId="0" applyFont="1" applyBorder="1" applyAlignment="1">
      <alignment wrapText="1"/>
    </xf>
    <xf numFmtId="0" fontId="3" fillId="0" borderId="9" xfId="0" applyFont="1" applyBorder="1" applyAlignment="1">
      <alignment wrapText="1"/>
    </xf>
  </cellXfs>
  <cellStyles count="1">
    <cellStyle name="Normal" xfId="0" builtinId="0"/>
  </cellStyles>
  <dxfs count="14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 outline="0">
        <left style="thin">
          <color rgb="FFB7B7B7"/>
        </left>
        <right/>
        <top style="thin">
          <color rgb="FFB7B7B7"/>
        </top>
        <bottom style="thin">
          <color rgb="FFB7B7B7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0" formatCode="General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E64C96-5671-4A50-9539-7F96A6643610}" name="Estoque_Itens" displayName="Estoque_Itens" ref="A1:I13" totalsRowShown="0" headerRowDxfId="13" dataDxfId="11" headerRowBorderDxfId="12" tableBorderDxfId="10" totalsRowBorderDxfId="9">
  <autoFilter ref="A1:I13" xr:uid="{86E64C96-5671-4A50-9539-7F96A6643610}"/>
  <tableColumns count="9">
    <tableColumn id="1" xr3:uid="{5C69C663-63BF-4EE4-8CF4-933AD8D646F6}" name="ID_Item" dataDxfId="8"/>
    <tableColumn id="2" xr3:uid="{5778FD75-8307-4ACF-884B-83CFEAB09C0E}" name="Setor_Cod" dataDxfId="7"/>
    <tableColumn id="3" xr3:uid="{A154FA13-2270-4488-95BC-80310823E9FD}" name="Corredor" dataDxfId="6"/>
    <tableColumn id="4" xr3:uid="{34B6A96F-9174-4650-A18C-62BD5A1AA329}" name="Prateleira" dataDxfId="5"/>
    <tableColumn id="5" xr3:uid="{9D6F9FFE-D654-46B1-8091-4CC587812222}" name="Nome_Item" dataDxfId="4"/>
    <tableColumn id="6" xr3:uid="{85A8CE5A-4D94-4CEB-BE16-067197724272}" name="Fabricante" dataDxfId="3"/>
    <tableColumn id="7" xr3:uid="{AD544261-C721-4881-8C38-34309F55A472}" name="Observacao" dataDxfId="2"/>
    <tableColumn id="8" xr3:uid="{33F84C4F-B966-4873-A1F6-31CA8D737857}" name="Codigo_Localizacao" dataDxfId="1">
      <calculatedColumnFormula>_xlfn.TEXTJOIN("-", TRUE, Estoque_Itens[[#This Row],[Setor_Cod]:[Prateleira]])</calculatedColumnFormula>
    </tableColumn>
    <tableColumn id="9" xr3:uid="{6D705852-5489-4C34-9D4A-C511AA97A535}" name="Descricao_Completa" dataDxfId="0">
      <calculatedColumnFormula>_xlfn.TEXTJOIN(", ", TRUE,Estoque_Itens[[#This Row],[Nome_Item]:[Observacao]])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Normal="100" workbookViewId="0">
      <pane ySplit="1" topLeftCell="A2" activePane="bottomLeft" state="frozen"/>
      <selection pane="bottomLeft" activeCell="I2" sqref="I2"/>
    </sheetView>
  </sheetViews>
  <sheetFormatPr defaultColWidth="8.7109375" defaultRowHeight="15" x14ac:dyDescent="0.25"/>
  <cols>
    <col min="1" max="1" width="10.7109375" customWidth="1"/>
    <col min="2" max="2" width="14" customWidth="1"/>
    <col min="3" max="3" width="12.42578125" customWidth="1"/>
    <col min="4" max="4" width="13" customWidth="1"/>
    <col min="5" max="5" width="24" customWidth="1"/>
    <col min="6" max="6" width="20" customWidth="1"/>
    <col min="7" max="7" width="26" customWidth="1"/>
    <col min="8" max="8" width="23.42578125" customWidth="1"/>
    <col min="9" max="9" width="45" customWidth="1"/>
  </cols>
  <sheetData>
    <row r="1" spans="1:9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x14ac:dyDescent="0.25">
      <c r="A2" s="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/>
      <c r="H2" s="8" t="str">
        <f>_xlfn.TEXTJOIN("-", TRUE, Estoque_Itens[[#This Row],[Setor_Cod]:[Prateleira]])</f>
        <v>PRD-A1-03</v>
      </c>
      <c r="I2" s="10" t="str">
        <f>_xlfn.TEXTJOIN(", ", TRUE,Estoque_Itens[[#This Row],[Nome_Item]:[Observacao]])</f>
        <v>Parafuso Sextavado M10, Fixadores Brasil</v>
      </c>
    </row>
    <row r="3" spans="1:9" x14ac:dyDescent="0.25">
      <c r="A3" s="2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/>
      <c r="G3" s="1" t="s">
        <v>20</v>
      </c>
      <c r="H3" s="8" t="str">
        <f>_xlfn.TEXTJOIN("-", TRUE, Estoque_Itens[[#This Row],[Setor_Cod]:[Prateleira]])</f>
        <v>MNT-B2-01</v>
      </c>
      <c r="I3" s="10" t="str">
        <f>_xlfn.TEXTJOIN(", ", TRUE,Estoque_Itens[[#This Row],[Nome_Item]:[Observacao]])</f>
        <v>Rolamento 6205, Uso em esteira 02</v>
      </c>
    </row>
    <row r="4" spans="1:9" x14ac:dyDescent="0.25">
      <c r="A4" s="2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/>
      <c r="H4" s="8" t="str">
        <f>_xlfn.TEXTJOIN("-", TRUE, Estoque_Itens[[#This Row],[Setor_Cod]:[Prateleira]])</f>
        <v>ENG-C1-05</v>
      </c>
      <c r="I4" s="10" t="str">
        <f>_xlfn.TEXTJOIN(", ", TRUE,Estoque_Itens[[#This Row],[Nome_Item]:[Observacao]])</f>
        <v>Cabo Flexível 2.5mm, Prysmian</v>
      </c>
    </row>
    <row r="5" spans="1:9" x14ac:dyDescent="0.25">
      <c r="A5" s="2" t="s">
        <v>27</v>
      </c>
      <c r="B5" s="1" t="s">
        <v>10</v>
      </c>
      <c r="C5" s="1" t="s">
        <v>11</v>
      </c>
      <c r="D5" s="1" t="s">
        <v>28</v>
      </c>
      <c r="E5" s="1" t="s">
        <v>29</v>
      </c>
      <c r="F5" s="1"/>
      <c r="G5" s="1"/>
      <c r="H5" s="8" t="str">
        <f>_xlfn.TEXTJOIN("-", TRUE, Estoque_Itens[[#This Row],[Setor_Cod]:[Prateleira]])</f>
        <v>PRD-A1-07</v>
      </c>
      <c r="I5" s="10" t="str">
        <f>_xlfn.TEXTJOIN(", ", TRUE,Estoque_Itens[[#This Row],[Nome_Item]:[Observacao]])</f>
        <v>Porca Sextavada M10</v>
      </c>
    </row>
    <row r="6" spans="1:9" ht="29.25" x14ac:dyDescent="0.25">
      <c r="A6" s="2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8" t="str">
        <f>_xlfn.TEXTJOIN("-", TRUE, Estoque_Itens[[#This Row],[Setor_Cod]:[Prateleira]])</f>
        <v>SUP-D3-02</v>
      </c>
      <c r="I6" s="10" t="str">
        <f>_xlfn.TEXTJOIN(", ", TRUE,Estoque_Itens[[#This Row],[Nome_Item]:[Observacao]])</f>
        <v>Luva de Raspa, EPI Segurança SA, Tamanho G</v>
      </c>
    </row>
    <row r="7" spans="1:9" x14ac:dyDescent="0.25">
      <c r="A7" s="2" t="s">
        <v>37</v>
      </c>
      <c r="B7" s="1" t="s">
        <v>16</v>
      </c>
      <c r="C7" s="1" t="s">
        <v>17</v>
      </c>
      <c r="D7" s="1" t="s">
        <v>38</v>
      </c>
      <c r="E7" s="1" t="s">
        <v>39</v>
      </c>
      <c r="F7" s="1"/>
      <c r="G7" s="1" t="s">
        <v>40</v>
      </c>
      <c r="H7" s="8" t="str">
        <f>_xlfn.TEXTJOIN("-", TRUE, Estoque_Itens[[#This Row],[Setor_Cod]:[Prateleira]])</f>
        <v>MNT-B2-04</v>
      </c>
      <c r="I7" s="10" t="str">
        <f>_xlfn.TEXTJOIN(", ", TRUE,Estoque_Itens[[#This Row],[Nome_Item]:[Observacao]])</f>
        <v>Correia Industrial, Substituição trimestral</v>
      </c>
    </row>
    <row r="8" spans="1:9" x14ac:dyDescent="0.25">
      <c r="A8" s="2" t="s">
        <v>41</v>
      </c>
      <c r="B8" s="1" t="s">
        <v>22</v>
      </c>
      <c r="C8" s="1" t="s">
        <v>23</v>
      </c>
      <c r="D8" s="1" t="s">
        <v>42</v>
      </c>
      <c r="E8" s="1" t="s">
        <v>43</v>
      </c>
      <c r="F8" s="1" t="s">
        <v>44</v>
      </c>
      <c r="G8" s="1"/>
      <c r="H8" s="8" t="str">
        <f>_xlfn.TEXTJOIN("-", TRUE, Estoque_Itens[[#This Row],[Setor_Cod]:[Prateleira]])</f>
        <v>ENG-C1-09</v>
      </c>
      <c r="I8" s="10" t="str">
        <f>_xlfn.TEXTJOIN(", ", TRUE,Estoque_Itens[[#This Row],[Nome_Item]:[Observacao]])</f>
        <v>Disjuntor 32A, WEG</v>
      </c>
    </row>
    <row r="9" spans="1:9" x14ac:dyDescent="0.25">
      <c r="A9" s="2" t="s">
        <v>45</v>
      </c>
      <c r="B9" s="1" t="s">
        <v>10</v>
      </c>
      <c r="C9" s="1" t="s">
        <v>46</v>
      </c>
      <c r="D9" s="1" t="s">
        <v>18</v>
      </c>
      <c r="E9" s="1" t="s">
        <v>47</v>
      </c>
      <c r="F9" s="1"/>
      <c r="G9" s="1"/>
      <c r="H9" s="8" t="str">
        <f>_xlfn.TEXTJOIN("-", TRUE, Estoque_Itens[[#This Row],[Setor_Cod]:[Prateleira]])</f>
        <v>PRD-A2-01</v>
      </c>
      <c r="I9" s="10" t="str">
        <f>_xlfn.TEXTJOIN(", ", TRUE,Estoque_Itens[[#This Row],[Nome_Item]:[Observacao]])</f>
        <v>Arruela Lisa M10</v>
      </c>
    </row>
    <row r="10" spans="1:9" x14ac:dyDescent="0.25">
      <c r="A10" s="2" t="s">
        <v>48</v>
      </c>
      <c r="B10" s="1" t="s">
        <v>31</v>
      </c>
      <c r="C10" s="1" t="s">
        <v>32</v>
      </c>
      <c r="D10" s="1" t="s">
        <v>49</v>
      </c>
      <c r="E10" s="1" t="s">
        <v>50</v>
      </c>
      <c r="F10" s="1" t="s">
        <v>35</v>
      </c>
      <c r="G10" s="1"/>
      <c r="H10" s="8" t="str">
        <f>_xlfn.TEXTJOIN("-", TRUE, Estoque_Itens[[#This Row],[Setor_Cod]:[Prateleira]])</f>
        <v>SUP-D3-06</v>
      </c>
      <c r="I10" s="10" t="str">
        <f>_xlfn.TEXTJOIN(", ", TRUE,Estoque_Itens[[#This Row],[Nome_Item]:[Observacao]])</f>
        <v>Capacete de Segurança, EPI Segurança SA</v>
      </c>
    </row>
    <row r="11" spans="1:9" ht="29.25" x14ac:dyDescent="0.25">
      <c r="A11" s="2" t="s">
        <v>51</v>
      </c>
      <c r="B11" s="1" t="s">
        <v>16</v>
      </c>
      <c r="C11" s="1" t="s">
        <v>52</v>
      </c>
      <c r="D11" s="1" t="s">
        <v>33</v>
      </c>
      <c r="E11" s="1" t="s">
        <v>53</v>
      </c>
      <c r="F11" s="1" t="s">
        <v>54</v>
      </c>
      <c r="G11" s="1" t="s">
        <v>55</v>
      </c>
      <c r="H11" s="8" t="str">
        <f>_xlfn.TEXTJOIN("-", TRUE, Estoque_Itens[[#This Row],[Setor_Cod]:[Prateleira]])</f>
        <v>MNT-B3-02</v>
      </c>
      <c r="I11" s="10" t="str">
        <f>_xlfn.TEXTJOIN(", ", TRUE,Estoque_Itens[[#This Row],[Nome_Item]:[Observacao]])</f>
        <v>Óleo Lubrificante 20L, Lubrax, Estoque mínimo 5 un</v>
      </c>
    </row>
    <row r="12" spans="1:9" x14ac:dyDescent="0.25">
      <c r="A12" s="2" t="s">
        <v>56</v>
      </c>
      <c r="B12" s="1" t="s">
        <v>22</v>
      </c>
      <c r="C12" s="1" t="s">
        <v>57</v>
      </c>
      <c r="D12" s="1" t="s">
        <v>12</v>
      </c>
      <c r="E12" s="1" t="s">
        <v>58</v>
      </c>
      <c r="F12" s="1"/>
      <c r="G12" s="1"/>
      <c r="H12" s="8" t="str">
        <f>_xlfn.TEXTJOIN("-", TRUE, Estoque_Itens[[#This Row],[Setor_Cod]:[Prateleira]])</f>
        <v>ENG-C2-03</v>
      </c>
      <c r="I12" s="10" t="str">
        <f>_xlfn.TEXTJOIN(", ", TRUE,Estoque_Itens[[#This Row],[Nome_Item]:[Observacao]])</f>
        <v>Fusível 10A</v>
      </c>
    </row>
    <row r="13" spans="1:9" ht="29.25" x14ac:dyDescent="0.25">
      <c r="A13" s="6" t="s">
        <v>59</v>
      </c>
      <c r="B13" s="7" t="s">
        <v>10</v>
      </c>
      <c r="C13" s="7" t="s">
        <v>46</v>
      </c>
      <c r="D13" s="7" t="s">
        <v>60</v>
      </c>
      <c r="E13" s="7" t="s">
        <v>61</v>
      </c>
      <c r="F13" s="7" t="s">
        <v>62</v>
      </c>
      <c r="G13" s="7" t="s">
        <v>63</v>
      </c>
      <c r="H13" s="9" t="str">
        <f>_xlfn.TEXTJOIN("-", TRUE, Estoque_Itens[[#This Row],[Setor_Cod]:[Prateleira]])</f>
        <v>PRD-A2-08</v>
      </c>
      <c r="I13" s="11" t="str">
        <f>_xlfn.TEXTJOIN(", ", TRUE,Estoque_Itens[[#This Row],[Nome_Item]:[Observacao]])</f>
        <v>Chapa de Aço 5mm, Aços do Brasil, Corte sob demanda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9</vt:i4>
      </vt:variant>
    </vt:vector>
  </HeadingPairs>
  <TitlesOfParts>
    <vt:vector size="10" baseType="lpstr">
      <vt:lpstr>Estoque_Itens</vt:lpstr>
      <vt:lpstr>Codigo_Localizacao</vt:lpstr>
      <vt:lpstr>Corredor</vt:lpstr>
      <vt:lpstr>Descricao_Completa</vt:lpstr>
      <vt:lpstr>Fabricante</vt:lpstr>
      <vt:lpstr>ID_Item</vt:lpstr>
      <vt:lpstr>Nome_Item</vt:lpstr>
      <vt:lpstr>Observacao</vt:lpstr>
      <vt:lpstr>Prateleira</vt:lpstr>
      <vt:lpstr>Setor_Cod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Henrique</cp:lastModifiedBy>
  <cp:revision>0</cp:revision>
  <dcterms:created xsi:type="dcterms:W3CDTF">2026-09-04T11:20:29Z</dcterms:created>
  <dcterms:modified xsi:type="dcterms:W3CDTF">2026-09-04T11:51:07Z</dcterms:modified>
  <dc:language>en-US</dc:language>
</cp:coreProperties>
</file>