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3"/>
  <workbookPr/>
  <xr:revisionPtr revIDLastSave="15" documentId="11_F1DF40B95F5824283077654D4DE367774964A62B" xr6:coauthVersionLast="47" xr6:coauthVersionMax="47" xr10:uidLastSave="{FAFB106A-0364-5646-A56B-D4288DE2D8B2}"/>
  <bookViews>
    <workbookView xWindow="0" yWindow="0" windowWidth="16384" windowHeight="8192" tabRatio="500" xr2:uid="{00000000-000D-0000-FFFF-FFFF00000000}"/>
  </bookViews>
  <sheets>
    <sheet name="Ativos_Patrimonio" sheetId="1" r:id="rId1"/>
  </sheets>
  <definedNames>
    <definedName name="Ano_Aquisicao">Ativos_Patrimonio[Ano_Aquisicao]</definedName>
    <definedName name="Codigo_Patrimonio">Ativos_Patrimonio[Codigo_Patrimonio]</definedName>
    <definedName name="Descricao">Ativos_Patrimonio[Descricao]</definedName>
    <definedName name="Setor_Cod">Ativos_Patrimonio[Setor_Cod]</definedName>
    <definedName name="UF">Ativos_Patrimonio[UF]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</calcChain>
</file>

<file path=xl/sharedStrings.xml><?xml version="1.0" encoding="utf-8"?>
<sst xmlns="http://schemas.openxmlformats.org/spreadsheetml/2006/main" count="37" uniqueCount="37">
  <si>
    <t>Codigo_Patrimonio</t>
  </si>
  <si>
    <t>Descricao</t>
  </si>
  <si>
    <t>Setor_Cod</t>
  </si>
  <si>
    <t>Ano_Aquisicao</t>
  </si>
  <si>
    <t>UF</t>
  </si>
  <si>
    <t>PRD-2022-00458-RJ</t>
  </si>
  <si>
    <t>Prensa Hidráulica 01</t>
  </si>
  <si>
    <t>ENG-2023-00912-SP</t>
  </si>
  <si>
    <t>Painel Elétrico Geral</t>
  </si>
  <si>
    <t>MNT-2021-00147-RJ</t>
  </si>
  <si>
    <t>Compressor de Ar</t>
  </si>
  <si>
    <t>SUP-2024-00623-MG</t>
  </si>
  <si>
    <t>Empilhadeira 03</t>
  </si>
  <si>
    <t>TIN-2020-00089-RJ</t>
  </si>
  <si>
    <t>Servidor de Rede</t>
  </si>
  <si>
    <t>PRD-2023-00734-RJ</t>
  </si>
  <si>
    <t>Esteira Transportadora</t>
  </si>
  <si>
    <t>ENG-2022-00256-SP</t>
  </si>
  <si>
    <t>Gerador Backup</t>
  </si>
  <si>
    <t>MNT-2024-00981-RJ</t>
  </si>
  <si>
    <t>Bomba Hidráulica 02</t>
  </si>
  <si>
    <t>SUP-2021-00365-RJ</t>
  </si>
  <si>
    <t>Empilhadeira 01</t>
  </si>
  <si>
    <t>PRD-2020-00512-MG</t>
  </si>
  <si>
    <t>Torno Mecânico</t>
  </si>
  <si>
    <t>TIN-2023-00178-RJ</t>
  </si>
  <si>
    <t>Roteador Industrial</t>
  </si>
  <si>
    <t>MNT-2022-00845-SP</t>
  </si>
  <si>
    <t>Caldeira Industrial</t>
  </si>
  <si>
    <t>ENG-2024-00293-RJ</t>
  </si>
  <si>
    <t>Painel de Controle CNC</t>
  </si>
  <si>
    <t>PRD-2021-00667-RJ</t>
  </si>
  <si>
    <t>Ponte Rolante</t>
  </si>
  <si>
    <t>SUP-2023-00420-MG</t>
  </si>
  <si>
    <t>Empilhadeira 02</t>
  </si>
  <si>
    <t>MNT-2020-00554-RJ</t>
  </si>
  <si>
    <t>Compressor de Ar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</si>
</sst>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1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3" fillId="0" borderId="1" xfId="0" applyFont="1" applyBorder="1"/>
    <xf numFmtId="0" fontId="3" fillId="0" borderId="8" xfId="0" applyFont="1" applyBorder="1"/>
    <xf numFmtId="0" fontId="3" fillId="0" borderId="3" xfId="0" applyFont="1" applyBorder="1"/>
    <xf numFmtId="0" fontId="3" fillId="0" borderId="9" xfId="0" applyFont="1" applyBorder="1"/>
  </cellXfs>
  <cellStyles count="1">
    <cellStyle name="Normal" xfId="0" builtinId="0"/>
  </cellStyles>
  <dxfs count="9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charset val="1"/>
        <scheme val="none"/>
      </font>
      <numFmt numFmtId="0" formatCode="General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charset val="1"/>
        <scheme val="none"/>
      </font>
      <numFmt numFmtId="0" formatCode="General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charset val="1"/>
        <scheme val="none"/>
      </font>
      <numFmt numFmtId="0" formatCode="General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E5CCE-3C52-0441-9966-F482A3EB4F39}" name="Ativos_Patrimonio" displayName="Ativos_Patrimonio" ref="A1:E17" totalsRowShown="0" headerRowDxfId="3" headerRowBorderDxfId="7" tableBorderDxfId="8" totalsRowBorderDxfId="6">
  <autoFilter ref="A1:E17" xr:uid="{67BE5CCE-3C52-0441-9966-F482A3EB4F39}"/>
  <tableColumns count="5">
    <tableColumn id="1" xr3:uid="{7C7C8B57-1C67-2D45-8F72-416BF31C87B5}" name="Codigo_Patrimonio" dataDxfId="5"/>
    <tableColumn id="2" xr3:uid="{8C9C46A8-7835-E148-AE7A-831FEE5CDB46}" name="Descricao" dataDxfId="4"/>
    <tableColumn id="3" xr3:uid="{BF6A49E4-A346-8449-9537-3AD299B5739B}" name="Setor_Cod" dataDxfId="2">
      <calculatedColumnFormula>LEFT(Ativos_Patrimonio[[#This Row],[Codigo_Patrimonio]], 3)</calculatedColumnFormula>
    </tableColumn>
    <tableColumn id="4" xr3:uid="{9D3732CE-CE22-1449-A395-2D1E77526854}" name="Ano_Aquisicao" dataDxfId="1">
      <calculatedColumnFormula>MID(Ativos_Patrimonio[[#This Row],[Codigo_Patrimonio]], 5, 4)</calculatedColumnFormula>
    </tableColumn>
    <tableColumn id="5" xr3:uid="{0A8DC23D-55EA-DC42-B3A1-A505322FBB82}" name="UF" dataDxfId="0">
      <calculatedColumnFormula>RIGHT(Ativos_Patrimonio[[#This Row],[Codigo_Patrimonio]],2)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pane ySplit="1" topLeftCell="A2" activePane="bottomLeft" state="frozen"/>
      <selection pane="bottomLeft" activeCell="H6" sqref="H6"/>
    </sheetView>
  </sheetViews>
  <sheetFormatPr defaultColWidth="8.7421875" defaultRowHeight="15" x14ac:dyDescent="0.2"/>
  <cols>
    <col min="1" max="1" width="22.05859375" customWidth="1"/>
    <col min="2" max="2" width="25.9609375" customWidth="1"/>
    <col min="3" max="3" width="13.44921875" customWidth="1"/>
    <col min="4" max="4" width="17.890625" customWidth="1"/>
    <col min="5" max="5" width="7.93359375" customWidth="1"/>
  </cols>
  <sheetData>
    <row r="1" spans="1:5" x14ac:dyDescent="0.2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">
      <c r="A2" s="2" t="s">
        <v>5</v>
      </c>
      <c r="B2" s="1" t="s">
        <v>6</v>
      </c>
      <c r="C2" s="8" t="str">
        <f>LEFT(Ativos_Patrimonio[[#This Row],[Codigo_Patrimonio]], 3)</f>
        <v>PRD</v>
      </c>
      <c r="D2" s="8" t="str">
        <f>MID(Ativos_Patrimonio[[#This Row],[Codigo_Patrimonio]], 5, 4)</f>
        <v>2022</v>
      </c>
      <c r="E2" s="10" t="str">
        <f>RIGHT(Ativos_Patrimonio[[#This Row],[Codigo_Patrimonio]],2)</f>
        <v>RJ</v>
      </c>
    </row>
    <row r="3" spans="1:5" x14ac:dyDescent="0.2">
      <c r="A3" s="2" t="s">
        <v>7</v>
      </c>
      <c r="B3" s="1" t="s">
        <v>8</v>
      </c>
      <c r="C3" s="8" t="str">
        <f>LEFT(Ativos_Patrimonio[[#This Row],[Codigo_Patrimonio]], 3)</f>
        <v>ENG</v>
      </c>
      <c r="D3" s="8" t="str">
        <f>MID(Ativos_Patrimonio[[#This Row],[Codigo_Patrimonio]], 5, 4)</f>
        <v>2023</v>
      </c>
      <c r="E3" s="10" t="str">
        <f>RIGHT(Ativos_Patrimonio[[#This Row],[Codigo_Patrimonio]],2)</f>
        <v>SP</v>
      </c>
    </row>
    <row r="4" spans="1:5" x14ac:dyDescent="0.2">
      <c r="A4" s="2" t="s">
        <v>9</v>
      </c>
      <c r="B4" s="1" t="s">
        <v>10</v>
      </c>
      <c r="C4" s="8" t="str">
        <f>LEFT(Ativos_Patrimonio[[#This Row],[Codigo_Patrimonio]], 3)</f>
        <v>MNT</v>
      </c>
      <c r="D4" s="8" t="str">
        <f>MID(Ativos_Patrimonio[[#This Row],[Codigo_Patrimonio]], 5, 4)</f>
        <v>2021</v>
      </c>
      <c r="E4" s="10" t="str">
        <f>RIGHT(Ativos_Patrimonio[[#This Row],[Codigo_Patrimonio]],2)</f>
        <v>RJ</v>
      </c>
    </row>
    <row r="5" spans="1:5" x14ac:dyDescent="0.2">
      <c r="A5" s="2" t="s">
        <v>11</v>
      </c>
      <c r="B5" s="1" t="s">
        <v>12</v>
      </c>
      <c r="C5" s="8" t="str">
        <f>LEFT(Ativos_Patrimonio[[#This Row],[Codigo_Patrimonio]], 3)</f>
        <v>SUP</v>
      </c>
      <c r="D5" s="8" t="str">
        <f>MID(Ativos_Patrimonio[[#This Row],[Codigo_Patrimonio]], 5, 4)</f>
        <v>2024</v>
      </c>
      <c r="E5" s="10" t="str">
        <f>RIGHT(Ativos_Patrimonio[[#This Row],[Codigo_Patrimonio]],2)</f>
        <v>MG</v>
      </c>
    </row>
    <row r="6" spans="1:5" x14ac:dyDescent="0.2">
      <c r="A6" s="2" t="s">
        <v>13</v>
      </c>
      <c r="B6" s="1" t="s">
        <v>14</v>
      </c>
      <c r="C6" s="8" t="str">
        <f>LEFT(Ativos_Patrimonio[[#This Row],[Codigo_Patrimonio]], 3)</f>
        <v>TIN</v>
      </c>
      <c r="D6" s="8" t="str">
        <f>MID(Ativos_Patrimonio[[#This Row],[Codigo_Patrimonio]], 5, 4)</f>
        <v>2020</v>
      </c>
      <c r="E6" s="10" t="str">
        <f>RIGHT(Ativos_Patrimonio[[#This Row],[Codigo_Patrimonio]],2)</f>
        <v>RJ</v>
      </c>
    </row>
    <row r="7" spans="1:5" x14ac:dyDescent="0.2">
      <c r="A7" s="2" t="s">
        <v>15</v>
      </c>
      <c r="B7" s="1" t="s">
        <v>16</v>
      </c>
      <c r="C7" s="8" t="str">
        <f>LEFT(Ativos_Patrimonio[[#This Row],[Codigo_Patrimonio]], 3)</f>
        <v>PRD</v>
      </c>
      <c r="D7" s="8" t="str">
        <f>MID(Ativos_Patrimonio[[#This Row],[Codigo_Patrimonio]], 5, 4)</f>
        <v>2023</v>
      </c>
      <c r="E7" s="10" t="str">
        <f>RIGHT(Ativos_Patrimonio[[#This Row],[Codigo_Patrimonio]],2)</f>
        <v>RJ</v>
      </c>
    </row>
    <row r="8" spans="1:5" x14ac:dyDescent="0.2">
      <c r="A8" s="2" t="s">
        <v>17</v>
      </c>
      <c r="B8" s="1" t="s">
        <v>18</v>
      </c>
      <c r="C8" s="8" t="str">
        <f>LEFT(Ativos_Patrimonio[[#This Row],[Codigo_Patrimonio]], 3)</f>
        <v>ENG</v>
      </c>
      <c r="D8" s="8" t="str">
        <f>MID(Ativos_Patrimonio[[#This Row],[Codigo_Patrimonio]], 5, 4)</f>
        <v>2022</v>
      </c>
      <c r="E8" s="10" t="str">
        <f>RIGHT(Ativos_Patrimonio[[#This Row],[Codigo_Patrimonio]],2)</f>
        <v>SP</v>
      </c>
    </row>
    <row r="9" spans="1:5" x14ac:dyDescent="0.2">
      <c r="A9" s="2" t="s">
        <v>19</v>
      </c>
      <c r="B9" s="1" t="s">
        <v>20</v>
      </c>
      <c r="C9" s="8" t="str">
        <f>LEFT(Ativos_Patrimonio[[#This Row],[Codigo_Patrimonio]], 3)</f>
        <v>MNT</v>
      </c>
      <c r="D9" s="8" t="str">
        <f>MID(Ativos_Patrimonio[[#This Row],[Codigo_Patrimonio]], 5, 4)</f>
        <v>2024</v>
      </c>
      <c r="E9" s="10" t="str">
        <f>RIGHT(Ativos_Patrimonio[[#This Row],[Codigo_Patrimonio]],2)</f>
        <v>RJ</v>
      </c>
    </row>
    <row r="10" spans="1:5" x14ac:dyDescent="0.2">
      <c r="A10" s="2" t="s">
        <v>21</v>
      </c>
      <c r="B10" s="1" t="s">
        <v>22</v>
      </c>
      <c r="C10" s="8" t="str">
        <f>LEFT(Ativos_Patrimonio[[#This Row],[Codigo_Patrimonio]], 3)</f>
        <v>SUP</v>
      </c>
      <c r="D10" s="8" t="str">
        <f>MID(Ativos_Patrimonio[[#This Row],[Codigo_Patrimonio]], 5, 4)</f>
        <v>2021</v>
      </c>
      <c r="E10" s="10" t="str">
        <f>RIGHT(Ativos_Patrimonio[[#This Row],[Codigo_Patrimonio]],2)</f>
        <v>RJ</v>
      </c>
    </row>
    <row r="11" spans="1:5" x14ac:dyDescent="0.2">
      <c r="A11" s="2" t="s">
        <v>23</v>
      </c>
      <c r="B11" s="1" t="s">
        <v>24</v>
      </c>
      <c r="C11" s="8" t="str">
        <f>LEFT(Ativos_Patrimonio[[#This Row],[Codigo_Patrimonio]], 3)</f>
        <v>PRD</v>
      </c>
      <c r="D11" s="8" t="str">
        <f>MID(Ativos_Patrimonio[[#This Row],[Codigo_Patrimonio]], 5, 4)</f>
        <v>2020</v>
      </c>
      <c r="E11" s="10" t="str">
        <f>RIGHT(Ativos_Patrimonio[[#This Row],[Codigo_Patrimonio]],2)</f>
        <v>MG</v>
      </c>
    </row>
    <row r="12" spans="1:5" x14ac:dyDescent="0.2">
      <c r="A12" s="2" t="s">
        <v>25</v>
      </c>
      <c r="B12" s="1" t="s">
        <v>26</v>
      </c>
      <c r="C12" s="8" t="str">
        <f>LEFT(Ativos_Patrimonio[[#This Row],[Codigo_Patrimonio]], 3)</f>
        <v>TIN</v>
      </c>
      <c r="D12" s="8" t="str">
        <f>MID(Ativos_Patrimonio[[#This Row],[Codigo_Patrimonio]], 5, 4)</f>
        <v>2023</v>
      </c>
      <c r="E12" s="10" t="str">
        <f>RIGHT(Ativos_Patrimonio[[#This Row],[Codigo_Patrimonio]],2)</f>
        <v>RJ</v>
      </c>
    </row>
    <row r="13" spans="1:5" x14ac:dyDescent="0.2">
      <c r="A13" s="2" t="s">
        <v>27</v>
      </c>
      <c r="B13" s="1" t="s">
        <v>28</v>
      </c>
      <c r="C13" s="8" t="str">
        <f>LEFT(Ativos_Patrimonio[[#This Row],[Codigo_Patrimonio]], 3)</f>
        <v>MNT</v>
      </c>
      <c r="D13" s="8" t="str">
        <f>MID(Ativos_Patrimonio[[#This Row],[Codigo_Patrimonio]], 5, 4)</f>
        <v>2022</v>
      </c>
      <c r="E13" s="10" t="str">
        <f>RIGHT(Ativos_Patrimonio[[#This Row],[Codigo_Patrimonio]],2)</f>
        <v>SP</v>
      </c>
    </row>
    <row r="14" spans="1:5" x14ac:dyDescent="0.2">
      <c r="A14" s="2" t="s">
        <v>29</v>
      </c>
      <c r="B14" s="1" t="s">
        <v>30</v>
      </c>
      <c r="C14" s="8" t="str">
        <f>LEFT(Ativos_Patrimonio[[#This Row],[Codigo_Patrimonio]], 3)</f>
        <v>ENG</v>
      </c>
      <c r="D14" s="8" t="str">
        <f>MID(Ativos_Patrimonio[[#This Row],[Codigo_Patrimonio]], 5, 4)</f>
        <v>2024</v>
      </c>
      <c r="E14" s="10" t="str">
        <f>RIGHT(Ativos_Patrimonio[[#This Row],[Codigo_Patrimonio]],2)</f>
        <v>RJ</v>
      </c>
    </row>
    <row r="15" spans="1:5" x14ac:dyDescent="0.2">
      <c r="A15" s="2" t="s">
        <v>31</v>
      </c>
      <c r="B15" s="1" t="s">
        <v>32</v>
      </c>
      <c r="C15" s="8" t="str">
        <f>LEFT(Ativos_Patrimonio[[#This Row],[Codigo_Patrimonio]], 3)</f>
        <v>PRD</v>
      </c>
      <c r="D15" s="8" t="str">
        <f>MID(Ativos_Patrimonio[[#This Row],[Codigo_Patrimonio]], 5, 4)</f>
        <v>2021</v>
      </c>
      <c r="E15" s="10" t="str">
        <f>RIGHT(Ativos_Patrimonio[[#This Row],[Codigo_Patrimonio]],2)</f>
        <v>RJ</v>
      </c>
    </row>
    <row r="16" spans="1:5" x14ac:dyDescent="0.2">
      <c r="A16" s="2" t="s">
        <v>33</v>
      </c>
      <c r="B16" s="1" t="s">
        <v>34</v>
      </c>
      <c r="C16" s="8" t="str">
        <f>LEFT(Ativos_Patrimonio[[#This Row],[Codigo_Patrimonio]], 3)</f>
        <v>SUP</v>
      </c>
      <c r="D16" s="8" t="str">
        <f>MID(Ativos_Patrimonio[[#This Row],[Codigo_Patrimonio]], 5, 4)</f>
        <v>2023</v>
      </c>
      <c r="E16" s="10" t="str">
        <f>RIGHT(Ativos_Patrimonio[[#This Row],[Codigo_Patrimonio]],2)</f>
        <v>MG</v>
      </c>
    </row>
    <row r="17" spans="1:5" x14ac:dyDescent="0.2">
      <c r="A17" s="6" t="s">
        <v>35</v>
      </c>
      <c r="B17" s="7" t="s">
        <v>36</v>
      </c>
      <c r="C17" s="9" t="str">
        <f>LEFT(Ativos_Patrimonio[[#This Row],[Codigo_Patrimonio]], 3)</f>
        <v>MNT</v>
      </c>
      <c r="D17" s="9" t="str">
        <f>MID(Ativos_Patrimonio[[#This Row],[Codigo_Patrimonio]], 5, 4)</f>
        <v>2020</v>
      </c>
      <c r="E17" s="11" t="str">
        <f>RIGHT(Ativos_Patrimonio[[#This Row],[Codigo_Patrimonio]],2)</f>
        <v>RJ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Ativos_Patrimonio</vt:lpstr>
      <vt:lpstr>Ano_Aquisicao</vt:lpstr>
      <vt:lpstr>Codigo_Patrimonio</vt:lpstr>
      <vt:lpstr>Descricao</vt:lpstr>
      <vt:lpstr>Setor_Cod</vt:lpstr>
      <vt:lpstr>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2026-08-19T20:41:15Z</dcterms:created>
  <dcterms:modified xsi:type="dcterms:W3CDTF">2026-08-19T20:41:15Z</dcterms:modified>
  <dc:language>en-US</dc:language>
</cp:coreProperties>
</file>