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2d4294ae10ed188/Estudos/Excel/modulo-02-texto-limpeza-dados/"/>
    </mc:Choice>
  </mc:AlternateContent>
  <xr:revisionPtr revIDLastSave="23" documentId="11_F1DF8DD179148EABDBE7673D8DA6DEF14F76A1B4" xr6:coauthVersionLast="47" xr6:coauthVersionMax="47" xr10:uidLastSave="{A95FC017-D31D-43EC-944C-F840C1AE1D53}"/>
  <bookViews>
    <workbookView xWindow="19095" yWindow="0" windowWidth="19410" windowHeight="15585" tabRatio="500" xr2:uid="{00000000-000D-0000-FFFF-FFFF00000000}"/>
  </bookViews>
  <sheets>
    <sheet name="Cadastro_Clientes" sheetId="1" r:id="rId1"/>
  </sheets>
  <definedNames>
    <definedName name="Categoria">Cadastro_Clientes[Categoria]</definedName>
    <definedName name="Categoria_Sistema">Cadastro_Clientes[Categoria_Sistema]</definedName>
    <definedName name="Email">Cadastro_Clientes[Email]</definedName>
    <definedName name="Email_Padronizado">Cadastro_Clientes[Email_Padronizado]</definedName>
    <definedName name="ID_Cliente">Cadastro_Clientes[ID_Cliente]</definedName>
    <definedName name="Nome_Cliente">Cadastro_Clientes[Nome_Cliente]</definedName>
    <definedName name="Nome_Cliente_Padronizado">Cadastro_Clientes[Nome_Cliente_Padronizado]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F2" i="1"/>
  <c r="F3" i="1"/>
  <c r="F4" i="1"/>
  <c r="F5" i="1"/>
  <c r="F6" i="1"/>
  <c r="F7" i="1"/>
  <c r="F8" i="1"/>
  <c r="F9" i="1"/>
  <c r="F10" i="1"/>
  <c r="F11" i="1"/>
  <c r="F12" i="1"/>
  <c r="F13" i="1"/>
  <c r="E2" i="1"/>
  <c r="E3" i="1"/>
  <c r="E4" i="1"/>
  <c r="E5" i="1"/>
  <c r="E6" i="1"/>
  <c r="E7" i="1"/>
  <c r="E8" i="1"/>
  <c r="E9" i="1"/>
  <c r="E10" i="1"/>
  <c r="E11" i="1"/>
  <c r="E12" i="1"/>
  <c r="E13" i="1"/>
</calcChain>
</file>

<file path=xl/sharedStrings.xml><?xml version="1.0" encoding="utf-8"?>
<sst xmlns="http://schemas.openxmlformats.org/spreadsheetml/2006/main" count="55" uniqueCount="46">
  <si>
    <t>ID_Cliente</t>
  </si>
  <si>
    <t>Nome_Cliente</t>
  </si>
  <si>
    <t>Email</t>
  </si>
  <si>
    <t>Categoria</t>
  </si>
  <si>
    <t>Nome_Cliente_Padronizado</t>
  </si>
  <si>
    <t>Email_Padronizado</t>
  </si>
  <si>
    <t>Categoria_Sistema</t>
  </si>
  <si>
    <t>CL001</t>
  </si>
  <si>
    <t>MARIA EDUARDA SILVA</t>
  </si>
  <si>
    <t>Maria.Silva@GMAIL.com</t>
  </si>
  <si>
    <t>varejo</t>
  </si>
  <si>
    <t>CL002</t>
  </si>
  <si>
    <t>joão pedro almeida</t>
  </si>
  <si>
    <t>JoaoPedro@Hotmail.COM</t>
  </si>
  <si>
    <t>atacado</t>
  </si>
  <si>
    <t>CL003</t>
  </si>
  <si>
    <t>ANA CAROLINA souza</t>
  </si>
  <si>
    <t>Ana.Souza@Outlook.com</t>
  </si>
  <si>
    <t>CL004</t>
  </si>
  <si>
    <t>carlos henrique dos santos</t>
  </si>
  <si>
    <t>Carlos.Santos@YAHOO.com</t>
  </si>
  <si>
    <t>industrial</t>
  </si>
  <si>
    <t>CL005</t>
  </si>
  <si>
    <t>FERNANDA lima ROCHA</t>
  </si>
  <si>
    <t>Fernanda.Rocha@GMAIL.COM</t>
  </si>
  <si>
    <t>CL006</t>
  </si>
  <si>
    <t>bruno alves costa</t>
  </si>
  <si>
    <t>Bruno.Costa@Hotmail.com</t>
  </si>
  <si>
    <t>CL007</t>
  </si>
  <si>
    <t>JULIA MARTINS pereira</t>
  </si>
  <si>
    <t>Julia.Pereira@GMAIL.com</t>
  </si>
  <si>
    <t>CL008</t>
  </si>
  <si>
    <t>rafael nunes DIAS</t>
  </si>
  <si>
    <t>Rafael.Dias@Outlook.COM</t>
  </si>
  <si>
    <t>CL009</t>
  </si>
  <si>
    <t>SOPHIA cardoso LIMA</t>
  </si>
  <si>
    <t>Sophia.Lima@YAHOO.COM</t>
  </si>
  <si>
    <t>CL010</t>
  </si>
  <si>
    <t>gabriel augusto MOREIRA</t>
  </si>
  <si>
    <t>Gabriel.Moreira@Gmail.com</t>
  </si>
  <si>
    <t>CL011</t>
  </si>
  <si>
    <t>BEATRIZ fernandes ROCHA</t>
  </si>
  <si>
    <t>Beatriz.Rocha@Hotmail.COM</t>
  </si>
  <si>
    <t>CL012</t>
  </si>
  <si>
    <t>thiago barbosa SANTOS</t>
  </si>
  <si>
    <t>Thiago.Santos@Outlook.com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</si>
</sst>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11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0" formatCode="General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0" formatCode="General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0" formatCode="General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8B3ED8-C544-4EBA-9172-589E5E7E32B8}" name="Cadastro_Clientes" displayName="Cadastro_Clientes" ref="A1:G13" totalsRowShown="0" headerRowDxfId="4" headerRowBorderDxfId="9" tableBorderDxfId="10" totalsRowBorderDxfId="8">
  <autoFilter ref="A1:G13" xr:uid="{1C8B3ED8-C544-4EBA-9172-589E5E7E32B8}"/>
  <tableColumns count="7">
    <tableColumn id="1" xr3:uid="{597B210D-D9BC-4343-8CB1-AF1DE82C2071}" name="ID_Cliente" dataDxfId="7"/>
    <tableColumn id="2" xr3:uid="{3AF50021-5E37-4C98-933E-0BD9E058DDD0}" name="Nome_Cliente" dataDxfId="6"/>
    <tableColumn id="3" xr3:uid="{AA62B4DF-6A14-44A3-8C3C-2AE53B4DCA38}" name="Email" dataDxfId="5"/>
    <tableColumn id="4" xr3:uid="{ADB24A6F-94AD-4EB1-9105-4189927059AF}" name="Categoria" dataDxfId="3"/>
    <tableColumn id="5" xr3:uid="{45A79E80-C40D-41D3-8663-EC9EAFBDDF5C}" name="Nome_Cliente_Padronizado" dataDxfId="2">
      <calculatedColumnFormula>PROPER(Cadastro_Clientes[[#This Row],[Nome_Cliente]])</calculatedColumnFormula>
    </tableColumn>
    <tableColumn id="6" xr3:uid="{011465E3-68D0-403D-A94C-E6B49109C573}" name="Email_Padronizado" dataDxfId="1">
      <calculatedColumnFormula>LOWER(Cadastro_Clientes[[#This Row],[Email]])</calculatedColumnFormula>
    </tableColumn>
    <tableColumn id="7" xr3:uid="{4AB36B83-7B03-400A-B48E-AC2025DEC8F6}" name="Categoria_Sistema" dataDxfId="0">
      <calculatedColumnFormula>UPPER(Cadastro_Clientes[[#This Row],[Categoria]])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Normal="100" workbookViewId="0">
      <pane ySplit="1" topLeftCell="A2" activePane="bottomLeft" state="frozen"/>
      <selection pane="bottomLeft" activeCell="G7" sqref="G7"/>
    </sheetView>
  </sheetViews>
  <sheetFormatPr defaultColWidth="8.7109375" defaultRowHeight="15" x14ac:dyDescent="0.25"/>
  <cols>
    <col min="1" max="1" width="13.7109375" customWidth="1"/>
    <col min="2" max="3" width="26" customWidth="1"/>
    <col min="4" max="4" width="14" customWidth="1"/>
    <col min="5" max="5" width="31.28515625" customWidth="1"/>
    <col min="6" max="6" width="26" customWidth="1"/>
    <col min="7" max="7" width="22.140625" customWidth="1"/>
  </cols>
  <sheetData>
    <row r="1" spans="1:7" ht="30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x14ac:dyDescent="0.25">
      <c r="A2" s="2" t="s">
        <v>7</v>
      </c>
      <c r="B2" s="1" t="s">
        <v>8</v>
      </c>
      <c r="C2" s="1" t="s">
        <v>9</v>
      </c>
      <c r="D2" s="1" t="s">
        <v>10</v>
      </c>
      <c r="E2" s="8" t="str">
        <f>PROPER(Cadastro_Clientes[[#This Row],[Nome_Cliente]])</f>
        <v>Maria Eduarda Silva</v>
      </c>
      <c r="F2" s="8" t="str">
        <f>LOWER(Cadastro_Clientes[[#This Row],[Email]])</f>
        <v>maria.silva@gmail.com</v>
      </c>
      <c r="G2" s="9" t="str">
        <f>UPPER(Cadastro_Clientes[[#This Row],[Categoria]])</f>
        <v>VAREJO</v>
      </c>
    </row>
    <row r="3" spans="1:7" x14ac:dyDescent="0.25">
      <c r="A3" s="2" t="s">
        <v>11</v>
      </c>
      <c r="B3" s="1" t="s">
        <v>12</v>
      </c>
      <c r="C3" s="1" t="s">
        <v>13</v>
      </c>
      <c r="D3" s="1" t="s">
        <v>14</v>
      </c>
      <c r="E3" s="8" t="str">
        <f>PROPER(Cadastro_Clientes[[#This Row],[Nome_Cliente]])</f>
        <v>João Pedro Almeida</v>
      </c>
      <c r="F3" s="8" t="str">
        <f>LOWER(Cadastro_Clientes[[#This Row],[Email]])</f>
        <v>joaopedro@hotmail.com</v>
      </c>
      <c r="G3" s="9" t="str">
        <f>UPPER(Cadastro_Clientes[[#This Row],[Categoria]])</f>
        <v>ATACADO</v>
      </c>
    </row>
    <row r="4" spans="1:7" x14ac:dyDescent="0.25">
      <c r="A4" s="2" t="s">
        <v>15</v>
      </c>
      <c r="B4" s="1" t="s">
        <v>16</v>
      </c>
      <c r="C4" s="1" t="s">
        <v>17</v>
      </c>
      <c r="D4" s="1" t="s">
        <v>10</v>
      </c>
      <c r="E4" s="8" t="str">
        <f>PROPER(Cadastro_Clientes[[#This Row],[Nome_Cliente]])</f>
        <v>Ana Carolina Souza</v>
      </c>
      <c r="F4" s="8" t="str">
        <f>LOWER(Cadastro_Clientes[[#This Row],[Email]])</f>
        <v>ana.souza@outlook.com</v>
      </c>
      <c r="G4" s="9" t="str">
        <f>UPPER(Cadastro_Clientes[[#This Row],[Categoria]])</f>
        <v>VAREJO</v>
      </c>
    </row>
    <row r="5" spans="1:7" x14ac:dyDescent="0.25">
      <c r="A5" s="2" t="s">
        <v>18</v>
      </c>
      <c r="B5" s="1" t="s">
        <v>19</v>
      </c>
      <c r="C5" s="1" t="s">
        <v>20</v>
      </c>
      <c r="D5" s="1" t="s">
        <v>21</v>
      </c>
      <c r="E5" s="8" t="str">
        <f>PROPER(Cadastro_Clientes[[#This Row],[Nome_Cliente]])</f>
        <v>Carlos Henrique Dos Santos</v>
      </c>
      <c r="F5" s="8" t="str">
        <f>LOWER(Cadastro_Clientes[[#This Row],[Email]])</f>
        <v>carlos.santos@yahoo.com</v>
      </c>
      <c r="G5" s="9" t="str">
        <f>UPPER(Cadastro_Clientes[[#This Row],[Categoria]])</f>
        <v>INDUSTRIAL</v>
      </c>
    </row>
    <row r="6" spans="1:7" x14ac:dyDescent="0.25">
      <c r="A6" s="2" t="s">
        <v>22</v>
      </c>
      <c r="B6" s="1" t="s">
        <v>23</v>
      </c>
      <c r="C6" s="1" t="s">
        <v>24</v>
      </c>
      <c r="D6" s="1" t="s">
        <v>10</v>
      </c>
      <c r="E6" s="8" t="str">
        <f>PROPER(Cadastro_Clientes[[#This Row],[Nome_Cliente]])</f>
        <v>Fernanda Lima Rocha</v>
      </c>
      <c r="F6" s="8" t="str">
        <f>LOWER(Cadastro_Clientes[[#This Row],[Email]])</f>
        <v>fernanda.rocha@gmail.com</v>
      </c>
      <c r="G6" s="9" t="str">
        <f>UPPER(Cadastro_Clientes[[#This Row],[Categoria]])</f>
        <v>VAREJO</v>
      </c>
    </row>
    <row r="7" spans="1:7" x14ac:dyDescent="0.25">
      <c r="A7" s="2" t="s">
        <v>25</v>
      </c>
      <c r="B7" s="1" t="s">
        <v>26</v>
      </c>
      <c r="C7" s="1" t="s">
        <v>27</v>
      </c>
      <c r="D7" s="1" t="s">
        <v>14</v>
      </c>
      <c r="E7" s="8" t="str">
        <f>PROPER(Cadastro_Clientes[[#This Row],[Nome_Cliente]])</f>
        <v>Bruno Alves Costa</v>
      </c>
      <c r="F7" s="8" t="str">
        <f>LOWER(Cadastro_Clientes[[#This Row],[Email]])</f>
        <v>bruno.costa@hotmail.com</v>
      </c>
      <c r="G7" s="9" t="str">
        <f>UPPER(Cadastro_Clientes[[#This Row],[Categoria]])</f>
        <v>ATACADO</v>
      </c>
    </row>
    <row r="8" spans="1:7" x14ac:dyDescent="0.25">
      <c r="A8" s="2" t="s">
        <v>28</v>
      </c>
      <c r="B8" s="1" t="s">
        <v>29</v>
      </c>
      <c r="C8" s="1" t="s">
        <v>30</v>
      </c>
      <c r="D8" s="1" t="s">
        <v>21</v>
      </c>
      <c r="E8" s="8" t="str">
        <f>PROPER(Cadastro_Clientes[[#This Row],[Nome_Cliente]])</f>
        <v>Julia Martins Pereira</v>
      </c>
      <c r="F8" s="8" t="str">
        <f>LOWER(Cadastro_Clientes[[#This Row],[Email]])</f>
        <v>julia.pereira@gmail.com</v>
      </c>
      <c r="G8" s="9" t="str">
        <f>UPPER(Cadastro_Clientes[[#This Row],[Categoria]])</f>
        <v>INDUSTRIAL</v>
      </c>
    </row>
    <row r="9" spans="1:7" x14ac:dyDescent="0.25">
      <c r="A9" s="2" t="s">
        <v>31</v>
      </c>
      <c r="B9" s="1" t="s">
        <v>32</v>
      </c>
      <c r="C9" s="1" t="s">
        <v>33</v>
      </c>
      <c r="D9" s="1" t="s">
        <v>10</v>
      </c>
      <c r="E9" s="8" t="str">
        <f>PROPER(Cadastro_Clientes[[#This Row],[Nome_Cliente]])</f>
        <v>Rafael Nunes Dias</v>
      </c>
      <c r="F9" s="8" t="str">
        <f>LOWER(Cadastro_Clientes[[#This Row],[Email]])</f>
        <v>rafael.dias@outlook.com</v>
      </c>
      <c r="G9" s="9" t="str">
        <f>UPPER(Cadastro_Clientes[[#This Row],[Categoria]])</f>
        <v>VAREJO</v>
      </c>
    </row>
    <row r="10" spans="1:7" x14ac:dyDescent="0.25">
      <c r="A10" s="2" t="s">
        <v>34</v>
      </c>
      <c r="B10" s="1" t="s">
        <v>35</v>
      </c>
      <c r="C10" s="1" t="s">
        <v>36</v>
      </c>
      <c r="D10" s="1" t="s">
        <v>14</v>
      </c>
      <c r="E10" s="8" t="str">
        <f>PROPER(Cadastro_Clientes[[#This Row],[Nome_Cliente]])</f>
        <v>Sophia Cardoso Lima</v>
      </c>
      <c r="F10" s="8" t="str">
        <f>LOWER(Cadastro_Clientes[[#This Row],[Email]])</f>
        <v>sophia.lima@yahoo.com</v>
      </c>
      <c r="G10" s="9" t="str">
        <f>UPPER(Cadastro_Clientes[[#This Row],[Categoria]])</f>
        <v>ATACADO</v>
      </c>
    </row>
    <row r="11" spans="1:7" x14ac:dyDescent="0.25">
      <c r="A11" s="2" t="s">
        <v>37</v>
      </c>
      <c r="B11" s="1" t="s">
        <v>38</v>
      </c>
      <c r="C11" s="1" t="s">
        <v>39</v>
      </c>
      <c r="D11" s="1" t="s">
        <v>21</v>
      </c>
      <c r="E11" s="8" t="str">
        <f>PROPER(Cadastro_Clientes[[#This Row],[Nome_Cliente]])</f>
        <v>Gabriel Augusto Moreira</v>
      </c>
      <c r="F11" s="8" t="str">
        <f>LOWER(Cadastro_Clientes[[#This Row],[Email]])</f>
        <v>gabriel.moreira@gmail.com</v>
      </c>
      <c r="G11" s="9" t="str">
        <f>UPPER(Cadastro_Clientes[[#This Row],[Categoria]])</f>
        <v>INDUSTRIAL</v>
      </c>
    </row>
    <row r="12" spans="1:7" x14ac:dyDescent="0.25">
      <c r="A12" s="2" t="s">
        <v>40</v>
      </c>
      <c r="B12" s="1" t="s">
        <v>41</v>
      </c>
      <c r="C12" s="1" t="s">
        <v>42</v>
      </c>
      <c r="D12" s="1" t="s">
        <v>10</v>
      </c>
      <c r="E12" s="8" t="str">
        <f>PROPER(Cadastro_Clientes[[#This Row],[Nome_Cliente]])</f>
        <v>Beatriz Fernandes Rocha</v>
      </c>
      <c r="F12" s="8" t="str">
        <f>LOWER(Cadastro_Clientes[[#This Row],[Email]])</f>
        <v>beatriz.rocha@hotmail.com</v>
      </c>
      <c r="G12" s="9" t="str">
        <f>UPPER(Cadastro_Clientes[[#This Row],[Categoria]])</f>
        <v>VAREJO</v>
      </c>
    </row>
    <row r="13" spans="1:7" x14ac:dyDescent="0.25">
      <c r="A13" s="6" t="s">
        <v>43</v>
      </c>
      <c r="B13" s="7" t="s">
        <v>44</v>
      </c>
      <c r="C13" s="7" t="s">
        <v>45</v>
      </c>
      <c r="D13" s="7" t="s">
        <v>14</v>
      </c>
      <c r="E13" s="10" t="str">
        <f>PROPER(Cadastro_Clientes[[#This Row],[Nome_Cliente]])</f>
        <v>Thiago Barbosa Santos</v>
      </c>
      <c r="F13" s="10" t="str">
        <f>LOWER(Cadastro_Clientes[[#This Row],[Email]])</f>
        <v>thiago.santos@outlook.com</v>
      </c>
      <c r="G13" s="11" t="str">
        <f>UPPER(Cadastro_Clientes[[#This Row],[Categoria]])</f>
        <v>ATACADO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5428BD-992B-490B-887A-9EEF97E46D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7</vt:i4>
      </vt:variant>
    </vt:vector>
  </HeadingPairs>
  <TitlesOfParts>
    <vt:vector size="8" baseType="lpstr">
      <vt:lpstr>Cadastro_Clientes</vt:lpstr>
      <vt:lpstr>Categoria</vt:lpstr>
      <vt:lpstr>Categoria_Sistema</vt:lpstr>
      <vt:lpstr>Email</vt:lpstr>
      <vt:lpstr>Email_Padronizado</vt:lpstr>
      <vt:lpstr>ID_Cliente</vt:lpstr>
      <vt:lpstr>Nome_Cliente</vt:lpstr>
      <vt:lpstr>Nome_Cliente_Padronizado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Henrique Dos Santos Caetano</cp:lastModifiedBy>
  <cp:revision>0</cp:revision>
  <dcterms:created xsi:type="dcterms:W3CDTF">2026-08-31T16:41:25Z</dcterms:created>
  <dcterms:modified xsi:type="dcterms:W3CDTF">2026-09-03T13:27:13Z</dcterms:modified>
  <dc:language>en-US</dc:language>
</cp:coreProperties>
</file>