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71" documentId="11_93CFF771B89019B07C4164864ECC4741C9C7D774" xr6:coauthVersionLast="47" xr6:coauthVersionMax="47" xr10:uidLastSave="{3C02D3E0-0985-4D46-8320-9ED3D3D0EBF2}"/>
  <bookViews>
    <workbookView xWindow="0" yWindow="0" windowWidth="16384" windowHeight="8192" tabRatio="500" xr2:uid="{00000000-000D-0000-FFFF-FFFF00000000}"/>
  </bookViews>
  <sheets>
    <sheet name="Notas_Fiscais" sheetId="1" r:id="rId1"/>
    <sheet name="Fornecedores" sheetId="2" r:id="rId2"/>
  </sheets>
  <definedNames>
    <definedName name="Data_Emissao">Notas_Fiscais[Data_Emissao]</definedName>
    <definedName name="Descricao">Notas_Fiscais[Descricao]</definedName>
    <definedName name="ID_Fornecedor">Notas_Fiscais[ID_Fornecedor]</definedName>
    <definedName name="ID_Nota">Notas_Fiscais[ID_Nota]</definedName>
    <definedName name="Nome_Fornecedor">Notas_Fiscais[Nome_Fornecedor]</definedName>
    <definedName name="Quantidade">Notas_Fiscais[Quantidade]</definedName>
    <definedName name="Valor_Total">Notas_Fiscais[Valor_Total]</definedName>
    <definedName name="Valor_Unitario">Notas_Fiscais[Valor_Unitario]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</calcChain>
</file>

<file path=xl/sharedStrings.xml><?xml version="1.0" encoding="utf-8"?>
<sst xmlns="http://schemas.openxmlformats.org/spreadsheetml/2006/main" count="69" uniqueCount="52">
  <si>
    <t>ID_Nota</t>
  </si>
  <si>
    <t>ID_Fornecedor</t>
  </si>
  <si>
    <t>Descricao</t>
  </si>
  <si>
    <t>Quantidade</t>
  </si>
  <si>
    <t>Valor_Total</t>
  </si>
  <si>
    <t>Data_Emissao</t>
  </si>
  <si>
    <t>Valor_Unitario</t>
  </si>
  <si>
    <t>Nome_Fornecedor</t>
  </si>
  <si>
    <t>NF001</t>
  </si>
  <si>
    <t>F001</t>
  </si>
  <si>
    <t>Chapa de Aço 10mm</t>
  </si>
  <si>
    <t>NF002</t>
  </si>
  <si>
    <t>F002</t>
  </si>
  <si>
    <t>Eletrodo de Solda</t>
  </si>
  <si>
    <t>NF003</t>
  </si>
  <si>
    <t>F009</t>
  </si>
  <si>
    <t>Cabo Blindado 50m</t>
  </si>
  <si>
    <t>NF004</t>
  </si>
  <si>
    <t>F003</t>
  </si>
  <si>
    <t>Capacete de Segurança</t>
  </si>
  <si>
    <t>NF005</t>
  </si>
  <si>
    <t>F004</t>
  </si>
  <si>
    <t>Furadeira Industrial</t>
  </si>
  <si>
    <t>NF006</t>
  </si>
  <si>
    <t>Chapa de Aço Inox 5mm</t>
  </si>
  <si>
    <t>NF007</t>
  </si>
  <si>
    <t>F007</t>
  </si>
  <si>
    <t>Painel Elétrico 220V</t>
  </si>
  <si>
    <t>NF008</t>
  </si>
  <si>
    <t>F011</t>
  </si>
  <si>
    <t>Rolamento Esférico</t>
  </si>
  <si>
    <t>NF009</t>
  </si>
  <si>
    <t>NF010</t>
  </si>
  <si>
    <t>F005</t>
  </si>
  <si>
    <t>Válvula de Esfera 2pol</t>
  </si>
  <si>
    <t>NF011</t>
  </si>
  <si>
    <t>Botina de Segurança</t>
  </si>
  <si>
    <t>NF012</t>
  </si>
  <si>
    <t>F012</t>
  </si>
  <si>
    <t>Manta Isolante Térmica</t>
  </si>
  <si>
    <t>NF013</t>
  </si>
  <si>
    <t>Chave de Torque</t>
  </si>
  <si>
    <t>NF014</t>
  </si>
  <si>
    <t>Viga Estrutural I-Beam</t>
  </si>
  <si>
    <t>NF015</t>
  </si>
  <si>
    <t>Aços do Brasil</t>
  </si>
  <si>
    <t>Solda Forte Ltda</t>
  </si>
  <si>
    <t>EPI Segurança SA</t>
  </si>
  <si>
    <t>Ferramentas Tec</t>
  </si>
  <si>
    <t>Válvulas &amp; Cia</t>
  </si>
  <si>
    <t>Elétrica Nuclear Ltda</t>
  </si>
  <si>
    <t>Rolamentos 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</si>
</sst>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>
    <font>
      <sz val="11"/>
      <color theme="1"/>
      <name val="Calibri"/>
      <family val="2"/>
      <charset val="1"/>
    </font>
    <font>
      <b/>
      <sz val="11"/>
      <color rgb="FFFFFFFF"/>
      <name val="Arial"/>
    </font>
    <font>
      <sz val="11"/>
      <color theme="1"/>
      <name val="Arial"/>
    </font>
    <font>
      <sz val="11"/>
      <name val="Arial"/>
    </font>
    <font>
      <i/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0" xfId="0" applyFont="1"/>
    <xf numFmtId="0" fontId="3" fillId="0" borderId="2" xfId="0" applyFont="1" applyBorder="1"/>
    <xf numFmtId="0" fontId="3" fillId="0" borderId="1" xfId="0" applyFont="1" applyBorder="1"/>
    <xf numFmtId="4" fontId="3" fillId="0" borderId="1" xfId="0" applyNumberFormat="1" applyFont="1" applyBorder="1"/>
    <xf numFmtId="164" fontId="3" fillId="0" borderId="1" xfId="0" applyNumberFormat="1" applyFont="1" applyBorder="1"/>
    <xf numFmtId="0" fontId="3" fillId="0" borderId="7" xfId="0" applyFont="1" applyBorder="1"/>
    <xf numFmtId="0" fontId="3" fillId="0" borderId="8" xfId="0" applyFont="1" applyBorder="1"/>
    <xf numFmtId="4" fontId="3" fillId="0" borderId="8" xfId="0" applyNumberFormat="1" applyFont="1" applyBorder="1"/>
    <xf numFmtId="164" fontId="3" fillId="0" borderId="8" xfId="0" applyNumberFormat="1" applyFont="1" applyBorder="1"/>
    <xf numFmtId="0" fontId="3" fillId="0" borderId="3" xfId="0" applyFont="1" applyBorder="1"/>
    <xf numFmtId="0" fontId="3" fillId="0" borderId="9" xfId="0" applyFont="1" applyBorder="1"/>
    <xf numFmtId="0" fontId="4" fillId="0" borderId="3" xfId="0" applyFont="1" applyBorder="1"/>
    <xf numFmtId="0" fontId="4" fillId="0" borderId="1" xfId="0" applyFont="1" applyBorder="1"/>
    <xf numFmtId="0" fontId="4" fillId="0" borderId="8" xfId="0" applyFont="1" applyBorder="1"/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00336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/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0" formatCode="General"/>
      <border diagonalUp="0" diagonalDown="0">
        <left style="thin">
          <color rgb="FFB7B7B7"/>
        </left>
        <right/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0" formatCode="General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dd/mm/yyyy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4" formatCode="#,##0.0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border diagonalUp="0" diagonalDown="0">
        <left/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bottom style="thin">
          <color rgb="FFB7B7B7"/>
        </bottom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ont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003366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6B8A86-F069-6843-97F9-C2D99C3B5DE0}" name="Notas_Fiscais" displayName="Notas_Fiscais" ref="A1:H16" totalsRowShown="0" headerRowDxfId="19" dataDxfId="18" headerRowBorderDxfId="16" tableBorderDxfId="17" totalsRowBorderDxfId="15">
  <autoFilter ref="A1:H16" xr:uid="{6C6B8A86-F069-6843-97F9-C2D99C3B5DE0}"/>
  <tableColumns count="8">
    <tableColumn id="1" xr3:uid="{B4D734AA-D938-AE42-B3AC-459C2A80A61E}" name="ID_Nota" dataDxfId="14"/>
    <tableColumn id="2" xr3:uid="{8A0C30C1-9E19-7F4C-A3DE-70060A60F5A8}" name="ID_Fornecedor" dataDxfId="13"/>
    <tableColumn id="3" xr3:uid="{9E810F9B-A7AC-CF45-903F-8B59A35EA190}" name="Descricao" dataDxfId="12"/>
    <tableColumn id="4" xr3:uid="{AD563554-63B5-8C41-B264-1C61FB2EA3DB}" name="Quantidade" dataDxfId="11"/>
    <tableColumn id="5" xr3:uid="{282A1C4B-BB29-B841-B46F-36C6F0D5511A}" name="Valor_Total" dataDxfId="10"/>
    <tableColumn id="6" xr3:uid="{1E3CE494-70A2-4945-BFC5-A2F02DB7EDCF}" name="Data_Emissao" dataDxfId="9"/>
    <tableColumn id="7" xr3:uid="{CFBFC920-361B-514A-9057-59ACE6054A52}" name="Valor_Unitario" dataDxfId="8">
      <calculatedColumnFormula>IFERROR(Notas_Fiscais[[#This Row],[Valor_Total]]/Notas_Fiscais[[#This Row],[Quantidade]], "Revisar Quantidade")</calculatedColumnFormula>
    </tableColumn>
    <tableColumn id="8" xr3:uid="{77B9ECEC-3898-0341-BEA2-9B3D710DCB51}" name="Nome_Fornecedor" dataDxfId="7">
      <calculatedColumnFormula>IFERROR(_xlfn.XLOOKUP(Notas_Fiscais[[#This Row],[ID_Fornecedor]],Fornecedores[ID_Fornecedor],Fornecedores[Nome_Fornecedor]), "Fornecedor não cadastrado.")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FA811F-6C9D-4E37-9F94-D8CC5B84C6F0}" name="Fornecedores" displayName="Fornecedores" ref="A1:B8" totalsRowShown="0" headerRowDxfId="6" dataDxfId="5" headerRowBorderDxfId="3" tableBorderDxfId="4" totalsRowBorderDxfId="2">
  <autoFilter ref="A1:B8" xr:uid="{D2FA811F-6C9D-4E37-9F94-D8CC5B84C6F0}"/>
  <tableColumns count="2">
    <tableColumn id="1" xr3:uid="{77E68B05-68C1-4151-A1F2-F07CDC6AEDBE}" name="ID_Fornecedor" dataDxfId="1"/>
    <tableColumn id="2" xr3:uid="{79DBE4B5-6353-49D3-9C27-E5E24C2FB808}" name="Nome_Fornecedor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zoomScaleNormal="100" workbookViewId="0">
      <pane ySplit="1" topLeftCell="A2" activePane="bottomLeft" state="frozen"/>
      <selection pane="bottomLeft" activeCell="G1" sqref="G1:G1048576"/>
    </sheetView>
  </sheetViews>
  <sheetFormatPr defaultColWidth="8.7109375" defaultRowHeight="14.25"/>
  <cols>
    <col min="1" max="1" width="11.5703125" style="4" bestFit="1" customWidth="1"/>
    <col min="2" max="2" width="17.28515625" style="4" customWidth="1"/>
    <col min="3" max="3" width="24" style="4" customWidth="1"/>
    <col min="4" max="4" width="14.42578125" style="4" customWidth="1"/>
    <col min="5" max="5" width="14.28515625" style="4" customWidth="1"/>
    <col min="6" max="6" width="17" style="4" customWidth="1"/>
    <col min="7" max="7" width="20.42578125" style="4" bestFit="1" customWidth="1"/>
    <col min="8" max="8" width="28.42578125" style="4" bestFit="1" customWidth="1"/>
    <col min="9" max="16384" width="8.7109375" style="4"/>
  </cols>
  <sheetData>
    <row r="1" spans="1:8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5" t="s">
        <v>8</v>
      </c>
      <c r="B2" s="6" t="s">
        <v>9</v>
      </c>
      <c r="C2" s="6" t="s">
        <v>10</v>
      </c>
      <c r="D2" s="6">
        <v>20</v>
      </c>
      <c r="E2" s="7">
        <v>25010</v>
      </c>
      <c r="F2" s="8">
        <v>46204</v>
      </c>
      <c r="G2" s="16">
        <f>IFERROR(Notas_Fiscais[[#This Row],[Valor_Total]]/Notas_Fiscais[[#This Row],[Quantidade]], "Revisar Quantidade")</f>
        <v>1250.5</v>
      </c>
      <c r="H2" s="15" t="str">
        <f>IFERROR(_xlfn.XLOOKUP(Notas_Fiscais[[#This Row],[ID_Fornecedor]],Fornecedores[ID_Fornecedor],Fornecedores[Nome_Fornecedor]), "Fornecedor não cadastrado.")</f>
        <v>Aços do Brasil</v>
      </c>
    </row>
    <row r="3" spans="1:8">
      <c r="A3" s="5" t="s">
        <v>11</v>
      </c>
      <c r="B3" s="6" t="s">
        <v>12</v>
      </c>
      <c r="C3" s="6" t="s">
        <v>13</v>
      </c>
      <c r="D3" s="6">
        <v>50</v>
      </c>
      <c r="E3" s="7">
        <v>3400</v>
      </c>
      <c r="F3" s="8">
        <v>46205</v>
      </c>
      <c r="G3" s="16">
        <f>IFERROR(Notas_Fiscais[[#This Row],[Valor_Total]]/Notas_Fiscais[[#This Row],[Quantidade]], "Revisar Quantidade")</f>
        <v>68</v>
      </c>
      <c r="H3" s="15" t="str">
        <f>IFERROR(_xlfn.XLOOKUP(Notas_Fiscais[[#This Row],[ID_Fornecedor]],Fornecedores[ID_Fornecedor],Fornecedores[Nome_Fornecedor]), "Fornecedor não cadastrado.")</f>
        <v>Solda Forte Ltda</v>
      </c>
    </row>
    <row r="4" spans="1:8">
      <c r="A4" s="5" t="s">
        <v>14</v>
      </c>
      <c r="B4" s="6" t="s">
        <v>15</v>
      </c>
      <c r="C4" s="6" t="s">
        <v>16</v>
      </c>
      <c r="D4" s="6">
        <v>0</v>
      </c>
      <c r="E4" s="7">
        <v>780</v>
      </c>
      <c r="F4" s="8">
        <v>46205</v>
      </c>
      <c r="G4" s="16" t="str">
        <f>IFERROR(Notas_Fiscais[[#This Row],[Valor_Total]]/Notas_Fiscais[[#This Row],[Quantidade]], "Revisar Quantidade")</f>
        <v>Revisar Quantidade</v>
      </c>
      <c r="H4" s="15" t="str">
        <f>IFERROR(_xlfn.XLOOKUP(Notas_Fiscais[[#This Row],[ID_Fornecedor]],Fornecedores[ID_Fornecedor],Fornecedores[Nome_Fornecedor]), "Fornecedor não cadastrado.")</f>
        <v>Rolamentos Industrial</v>
      </c>
    </row>
    <row r="5" spans="1:8">
      <c r="A5" s="5" t="s">
        <v>17</v>
      </c>
      <c r="B5" s="6" t="s">
        <v>18</v>
      </c>
      <c r="C5" s="6" t="s">
        <v>19</v>
      </c>
      <c r="D5" s="6">
        <v>100</v>
      </c>
      <c r="E5" s="7">
        <v>4590</v>
      </c>
      <c r="F5" s="8">
        <v>46206</v>
      </c>
      <c r="G5" s="16">
        <f>IFERROR(Notas_Fiscais[[#This Row],[Valor_Total]]/Notas_Fiscais[[#This Row],[Quantidade]], "Revisar Quantidade")</f>
        <v>45.9</v>
      </c>
      <c r="H5" s="15" t="str">
        <f>IFERROR(_xlfn.XLOOKUP(Notas_Fiscais[[#This Row],[ID_Fornecedor]],Fornecedores[ID_Fornecedor],Fornecedores[Nome_Fornecedor]), "Fornecedor não cadastrado.")</f>
        <v>EPI Segurança SA</v>
      </c>
    </row>
    <row r="6" spans="1:8">
      <c r="A6" s="5" t="s">
        <v>20</v>
      </c>
      <c r="B6" s="6" t="s">
        <v>21</v>
      </c>
      <c r="C6" s="6" t="s">
        <v>22</v>
      </c>
      <c r="D6" s="6">
        <v>8</v>
      </c>
      <c r="E6" s="7">
        <v>7120</v>
      </c>
      <c r="F6" s="8">
        <v>46206</v>
      </c>
      <c r="G6" s="16">
        <f>IFERROR(Notas_Fiscais[[#This Row],[Valor_Total]]/Notas_Fiscais[[#This Row],[Quantidade]], "Revisar Quantidade")</f>
        <v>890</v>
      </c>
      <c r="H6" s="15" t="str">
        <f>IFERROR(_xlfn.XLOOKUP(Notas_Fiscais[[#This Row],[ID_Fornecedor]],Fornecedores[ID_Fornecedor],Fornecedores[Nome_Fornecedor]), "Fornecedor não cadastrado.")</f>
        <v>Ferramentas Tec</v>
      </c>
    </row>
    <row r="7" spans="1:8">
      <c r="A7" s="5" t="s">
        <v>23</v>
      </c>
      <c r="B7" s="6" t="s">
        <v>9</v>
      </c>
      <c r="C7" s="6" t="s">
        <v>24</v>
      </c>
      <c r="D7" s="6">
        <v>15</v>
      </c>
      <c r="E7" s="7">
        <v>18750</v>
      </c>
      <c r="F7" s="8">
        <v>46207</v>
      </c>
      <c r="G7" s="16">
        <f>IFERROR(Notas_Fiscais[[#This Row],[Valor_Total]]/Notas_Fiscais[[#This Row],[Quantidade]], "Revisar Quantidade")</f>
        <v>1250</v>
      </c>
      <c r="H7" s="15" t="str">
        <f>IFERROR(_xlfn.XLOOKUP(Notas_Fiscais[[#This Row],[ID_Fornecedor]],Fornecedores[ID_Fornecedor],Fornecedores[Nome_Fornecedor]), "Fornecedor não cadastrado.")</f>
        <v>Aços do Brasil</v>
      </c>
    </row>
    <row r="8" spans="1:8">
      <c r="A8" s="5" t="s">
        <v>25</v>
      </c>
      <c r="B8" s="6" t="s">
        <v>26</v>
      </c>
      <c r="C8" s="6" t="s">
        <v>27</v>
      </c>
      <c r="D8" s="6">
        <v>5</v>
      </c>
      <c r="E8" s="7">
        <v>17000</v>
      </c>
      <c r="F8" s="8">
        <v>46207</v>
      </c>
      <c r="G8" s="16">
        <f>IFERROR(Notas_Fiscais[[#This Row],[Valor_Total]]/Notas_Fiscais[[#This Row],[Quantidade]], "Revisar Quantidade")</f>
        <v>3400</v>
      </c>
      <c r="H8" s="15" t="str">
        <f>IFERROR(_xlfn.XLOOKUP(Notas_Fiscais[[#This Row],[ID_Fornecedor]],Fornecedores[ID_Fornecedor],Fornecedores[Nome_Fornecedor]), "Fornecedor não cadastrado.")</f>
        <v>Elétrica Nuclear Ltda</v>
      </c>
    </row>
    <row r="9" spans="1:8">
      <c r="A9" s="5" t="s">
        <v>28</v>
      </c>
      <c r="B9" s="6" t="s">
        <v>29</v>
      </c>
      <c r="C9" s="6" t="s">
        <v>30</v>
      </c>
      <c r="D9" s="6">
        <v>30</v>
      </c>
      <c r="E9" s="7">
        <v>2862</v>
      </c>
      <c r="F9" s="8">
        <v>46208</v>
      </c>
      <c r="G9" s="16">
        <f>IFERROR(Notas_Fiscais[[#This Row],[Valor_Total]]/Notas_Fiscais[[#This Row],[Quantidade]], "Revisar Quantidade")</f>
        <v>95.4</v>
      </c>
      <c r="H9" s="15" t="str">
        <f>IFERROR(_xlfn.XLOOKUP(Notas_Fiscais[[#This Row],[ID_Fornecedor]],Fornecedores[ID_Fornecedor],Fornecedores[Nome_Fornecedor]), "Fornecedor não cadastrado.")</f>
        <v>Fornecedor não cadastrado.</v>
      </c>
    </row>
    <row r="10" spans="1:8">
      <c r="A10" s="5" t="s">
        <v>31</v>
      </c>
      <c r="B10" s="6" t="s">
        <v>12</v>
      </c>
      <c r="C10" s="6" t="s">
        <v>13</v>
      </c>
      <c r="D10" s="6">
        <v>0</v>
      </c>
      <c r="E10" s="7">
        <v>1360</v>
      </c>
      <c r="F10" s="8">
        <v>46208</v>
      </c>
      <c r="G10" s="16" t="str">
        <f>IFERROR(Notas_Fiscais[[#This Row],[Valor_Total]]/Notas_Fiscais[[#This Row],[Quantidade]], "Revisar Quantidade")</f>
        <v>Revisar Quantidade</v>
      </c>
      <c r="H10" s="15" t="str">
        <f>IFERROR(_xlfn.XLOOKUP(Notas_Fiscais[[#This Row],[ID_Fornecedor]],Fornecedores[ID_Fornecedor],Fornecedores[Nome_Fornecedor]), "Fornecedor não cadastrado.")</f>
        <v>Solda Forte Ltda</v>
      </c>
    </row>
    <row r="11" spans="1:8">
      <c r="A11" s="5" t="s">
        <v>32</v>
      </c>
      <c r="B11" s="6" t="s">
        <v>33</v>
      </c>
      <c r="C11" s="6" t="s">
        <v>34</v>
      </c>
      <c r="D11" s="6">
        <v>12</v>
      </c>
      <c r="E11" s="7">
        <v>6720</v>
      </c>
      <c r="F11" s="8">
        <v>46209</v>
      </c>
      <c r="G11" s="16">
        <f>IFERROR(Notas_Fiscais[[#This Row],[Valor_Total]]/Notas_Fiscais[[#This Row],[Quantidade]], "Revisar Quantidade")</f>
        <v>560</v>
      </c>
      <c r="H11" s="15" t="str">
        <f>IFERROR(_xlfn.XLOOKUP(Notas_Fiscais[[#This Row],[ID_Fornecedor]],Fornecedores[ID_Fornecedor],Fornecedores[Nome_Fornecedor]), "Fornecedor não cadastrado.")</f>
        <v>Válvulas &amp; Cia</v>
      </c>
    </row>
    <row r="12" spans="1:8">
      <c r="A12" s="5" t="s">
        <v>35</v>
      </c>
      <c r="B12" s="6" t="s">
        <v>18</v>
      </c>
      <c r="C12" s="6" t="s">
        <v>36</v>
      </c>
      <c r="D12" s="6">
        <v>80</v>
      </c>
      <c r="E12" s="7">
        <v>10392</v>
      </c>
      <c r="F12" s="8">
        <v>46209</v>
      </c>
      <c r="G12" s="16">
        <f>IFERROR(Notas_Fiscais[[#This Row],[Valor_Total]]/Notas_Fiscais[[#This Row],[Quantidade]], "Revisar Quantidade")</f>
        <v>129.9</v>
      </c>
      <c r="H12" s="15" t="str">
        <f>IFERROR(_xlfn.XLOOKUP(Notas_Fiscais[[#This Row],[ID_Fornecedor]],Fornecedores[ID_Fornecedor],Fornecedores[Nome_Fornecedor]), "Fornecedor não cadastrado.")</f>
        <v>EPI Segurança SA</v>
      </c>
    </row>
    <row r="13" spans="1:8">
      <c r="A13" s="5" t="s">
        <v>37</v>
      </c>
      <c r="B13" s="6" t="s">
        <v>38</v>
      </c>
      <c r="C13" s="6" t="s">
        <v>39</v>
      </c>
      <c r="D13" s="6">
        <v>25</v>
      </c>
      <c r="E13" s="7">
        <v>3218.75</v>
      </c>
      <c r="F13" s="8">
        <v>46210</v>
      </c>
      <c r="G13" s="16">
        <f>IFERROR(Notas_Fiscais[[#This Row],[Valor_Total]]/Notas_Fiscais[[#This Row],[Quantidade]], "Revisar Quantidade")</f>
        <v>128.75</v>
      </c>
      <c r="H13" s="15" t="str">
        <f>IFERROR(_xlfn.XLOOKUP(Notas_Fiscais[[#This Row],[ID_Fornecedor]],Fornecedores[ID_Fornecedor],Fornecedores[Nome_Fornecedor]), "Fornecedor não cadastrado.")</f>
        <v>Fornecedor não cadastrado.</v>
      </c>
    </row>
    <row r="14" spans="1:8">
      <c r="A14" s="5" t="s">
        <v>40</v>
      </c>
      <c r="B14" s="6" t="s">
        <v>21</v>
      </c>
      <c r="C14" s="6" t="s">
        <v>41</v>
      </c>
      <c r="D14" s="6">
        <v>10</v>
      </c>
      <c r="E14" s="7">
        <v>3403</v>
      </c>
      <c r="F14" s="8">
        <v>46210</v>
      </c>
      <c r="G14" s="16">
        <f>IFERROR(Notas_Fiscais[[#This Row],[Valor_Total]]/Notas_Fiscais[[#This Row],[Quantidade]], "Revisar Quantidade")</f>
        <v>340.3</v>
      </c>
      <c r="H14" s="15" t="str">
        <f>IFERROR(_xlfn.XLOOKUP(Notas_Fiscais[[#This Row],[ID_Fornecedor]],Fornecedores[ID_Fornecedor],Fornecedores[Nome_Fornecedor]), "Fornecedor não cadastrado.")</f>
        <v>Ferramentas Tec</v>
      </c>
    </row>
    <row r="15" spans="1:8">
      <c r="A15" s="5" t="s">
        <v>42</v>
      </c>
      <c r="B15" s="6" t="s">
        <v>9</v>
      </c>
      <c r="C15" s="6" t="s">
        <v>43</v>
      </c>
      <c r="D15" s="6">
        <v>6</v>
      </c>
      <c r="E15" s="7">
        <v>12600</v>
      </c>
      <c r="F15" s="8">
        <v>46211</v>
      </c>
      <c r="G15" s="16">
        <f>IFERROR(Notas_Fiscais[[#This Row],[Valor_Total]]/Notas_Fiscais[[#This Row],[Quantidade]], "Revisar Quantidade")</f>
        <v>2100</v>
      </c>
      <c r="H15" s="15" t="str">
        <f>IFERROR(_xlfn.XLOOKUP(Notas_Fiscais[[#This Row],[ID_Fornecedor]],Fornecedores[ID_Fornecedor],Fornecedores[Nome_Fornecedor]), "Fornecedor não cadastrado.")</f>
        <v>Aços do Brasil</v>
      </c>
    </row>
    <row r="16" spans="1:8">
      <c r="A16" s="9" t="s">
        <v>44</v>
      </c>
      <c r="B16" s="10" t="s">
        <v>26</v>
      </c>
      <c r="C16" s="10" t="s">
        <v>16</v>
      </c>
      <c r="D16" s="10">
        <v>0</v>
      </c>
      <c r="E16" s="11">
        <v>3900</v>
      </c>
      <c r="F16" s="12">
        <v>46211</v>
      </c>
      <c r="G16" s="17" t="str">
        <f>IFERROR(Notas_Fiscais[[#This Row],[Valor_Total]]/Notas_Fiscais[[#This Row],[Quantidade]], "Revisar Quantidade")</f>
        <v>Revisar Quantidade</v>
      </c>
      <c r="H16" s="15" t="str">
        <f>IFERROR(_xlfn.XLOOKUP(Notas_Fiscais[[#This Row],[ID_Fornecedor]],Fornecedores[ID_Fornecedor],Fornecedores[Nome_Fornecedor]), "Fornecedor não cadastrado.")</f>
        <v>Elétrica Nuclear Ltda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zoomScaleNormal="100" workbookViewId="0">
      <selection sqref="A1:B8"/>
    </sheetView>
  </sheetViews>
  <sheetFormatPr defaultColWidth="8.7109375" defaultRowHeight="14.25"/>
  <cols>
    <col min="1" max="1" width="18.7109375" style="4" bestFit="1" customWidth="1"/>
    <col min="2" max="2" width="24" style="4" customWidth="1"/>
    <col min="3" max="16384" width="8.7109375" style="4"/>
  </cols>
  <sheetData>
    <row r="1" spans="1:2" ht="15">
      <c r="A1" s="1" t="s">
        <v>1</v>
      </c>
      <c r="B1" s="3" t="s">
        <v>7</v>
      </c>
    </row>
    <row r="2" spans="1:2">
      <c r="A2" s="5" t="s">
        <v>9</v>
      </c>
      <c r="B2" s="13" t="s">
        <v>45</v>
      </c>
    </row>
    <row r="3" spans="1:2">
      <c r="A3" s="5" t="s">
        <v>12</v>
      </c>
      <c r="B3" s="13" t="s">
        <v>46</v>
      </c>
    </row>
    <row r="4" spans="1:2">
      <c r="A4" s="5" t="s">
        <v>18</v>
      </c>
      <c r="B4" s="13" t="s">
        <v>47</v>
      </c>
    </row>
    <row r="5" spans="1:2">
      <c r="A5" s="5" t="s">
        <v>21</v>
      </c>
      <c r="B5" s="13" t="s">
        <v>48</v>
      </c>
    </row>
    <row r="6" spans="1:2">
      <c r="A6" s="5" t="s">
        <v>33</v>
      </c>
      <c r="B6" s="13" t="s">
        <v>49</v>
      </c>
    </row>
    <row r="7" spans="1:2">
      <c r="A7" s="5" t="s">
        <v>26</v>
      </c>
      <c r="B7" s="13" t="s">
        <v>50</v>
      </c>
    </row>
    <row r="8" spans="1:2">
      <c r="A8" s="9" t="s">
        <v>15</v>
      </c>
      <c r="B8" s="14" t="s">
        <v>51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Carlos Henrique</cp:lastModifiedBy>
  <cp:revision>0</cp:revision>
  <dcterms:created xsi:type="dcterms:W3CDTF">2026-08-03T21:49:49Z</dcterms:created>
  <dcterms:modified xsi:type="dcterms:W3CDTF">2026-08-04T15:27:00Z</dcterms:modified>
  <cp:category/>
  <cp:contentStatus/>
</cp:coreProperties>
</file>