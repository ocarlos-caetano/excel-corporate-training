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85" documentId="11_F1DF8479B13CE633D47C00236A7021765CAE91C4" xr6:coauthVersionLast="47" xr6:coauthVersionMax="47" xr10:uidLastSave="{BF327F8E-205F-4586-A225-19E8A8EEF0BD}"/>
  <bookViews>
    <workbookView xWindow="0" yWindow="0" windowWidth="16384" windowHeight="8192" tabRatio="500" xr2:uid="{00000000-000D-0000-FFFF-FFFF00000000}"/>
  </bookViews>
  <sheets>
    <sheet name="Ativos" sheetId="1" r:id="rId1"/>
  </sheets>
  <definedNames>
    <definedName name="Data_Aquisicao">Ativos[Data_Aquisicao]</definedName>
    <definedName name="Departamento">Ativos[Departamento]</definedName>
    <definedName name="ID_Ativo">Ativos[ID_Ativo]</definedName>
    <definedName name="Responsavel">Ativos[Responsavel]</definedName>
    <definedName name="Status">Ativos[Status]</definedName>
    <definedName name="Tipo_Equipamento">Ativos[Tipo_Equipamento]</definedName>
    <definedName name="Valor">Ativos[Valor]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1" l="1" a="1"/>
  <c r="B27" i="1"/>
  <c r="B25" i="1" a="1"/>
  <c r="B25" i="1"/>
  <c r="B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<sst xmlns="http://schemas.openxmlformats.org/spreadsheetml/2006/main" count="112" uniqueCount="60">
  <si>
    <t>ID_Ativo</t>
  </si>
  <si>
    <t>Departamento</t>
  </si>
  <si>
    <t>Tipo_Equipamento</t>
  </si>
  <si>
    <t>Responsavel</t>
  </si>
  <si>
    <t>Data_Aquisicao</t>
  </si>
  <si>
    <t>Valor</t>
  </si>
  <si>
    <t>Status</t>
  </si>
  <si>
    <t>AT001</t>
  </si>
  <si>
    <t>Financeiro</t>
  </si>
  <si>
    <t>Notebook</t>
  </si>
  <si>
    <t>Marcele Souza</t>
  </si>
  <si>
    <t>Em uso</t>
  </si>
  <si>
    <t>AT002</t>
  </si>
  <si>
    <t>Engenharia</t>
  </si>
  <si>
    <t>Monitor</t>
  </si>
  <si>
    <t>Rafael Lima</t>
  </si>
  <si>
    <t>AT003</t>
  </si>
  <si>
    <t>TI</t>
  </si>
  <si>
    <t>Servidor</t>
  </si>
  <si>
    <t>Equipe TI</t>
  </si>
  <si>
    <t>AT004</t>
  </si>
  <si>
    <t>Amanda Rocha</t>
  </si>
  <si>
    <t>Manutenção</t>
  </si>
  <si>
    <t>AT005</t>
  </si>
  <si>
    <t>Suprimentos</t>
  </si>
  <si>
    <t>Impressora</t>
  </si>
  <si>
    <t>.</t>
  </si>
  <si>
    <t>AT006</t>
  </si>
  <si>
    <t>Bruno Alves</t>
  </si>
  <si>
    <t>AT007</t>
  </si>
  <si>
    <t>RH</t>
  </si>
  <si>
    <t>Sophia Martins</t>
  </si>
  <si>
    <t>AT008</t>
  </si>
  <si>
    <t>Roteador</t>
  </si>
  <si>
    <t>Baixado</t>
  </si>
  <si>
    <t>AT009</t>
  </si>
  <si>
    <t>AT010</t>
  </si>
  <si>
    <t>Carlos Henrique</t>
  </si>
  <si>
    <t>AT011</t>
  </si>
  <si>
    <t>Setor Engenharia</t>
  </si>
  <si>
    <t>AT012</t>
  </si>
  <si>
    <t>Rebecca Dias</t>
  </si>
  <si>
    <t>AT013</t>
  </si>
  <si>
    <t>Switch</t>
  </si>
  <si>
    <t>AT014</t>
  </si>
  <si>
    <t>Setor Financeiro</t>
  </si>
  <si>
    <t>AT015</t>
  </si>
  <si>
    <t>Fabricio Nunes</t>
  </si>
  <si>
    <t>AT016</t>
  </si>
  <si>
    <t>AT017</t>
  </si>
  <si>
    <t>Setor RH</t>
  </si>
  <si>
    <t>AT018</t>
  </si>
  <si>
    <t>AT019</t>
  </si>
  <si>
    <t>AT020</t>
  </si>
  <si>
    <t>Jeni Alves</t>
  </si>
  <si>
    <t>Informações - Auditoria</t>
  </si>
  <si>
    <t>Resultado</t>
  </si>
  <si>
    <t>Responsável + Status - AT012</t>
  </si>
  <si>
    <t>Valor - AT005</t>
  </si>
  <si>
    <t>Departamento + Responsável + Valor - AT020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</si>
</sst>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6"/>
      <name val="Yu Gothic"/>
      <family val="2"/>
      <charset val="128"/>
    </font>
    <font>
      <sz val="11"/>
      <color theme="1"/>
      <name val="Arial"/>
      <family val="18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theme="1" tint="0.749992370372631"/>
      </left>
      <right style="thin">
        <color theme="1" tint="0.749992370372631"/>
      </right>
      <top style="thin">
        <color theme="1" tint="0.749992370372631"/>
      </top>
      <bottom style="thin">
        <color theme="1" tint="0.74999237037263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4" fontId="2" fillId="0" borderId="8" xfId="0" applyNumberFormat="1" applyFont="1" applyBorder="1"/>
    <xf numFmtId="0" fontId="2" fillId="0" borderId="9" xfId="0" applyFont="1" applyBorder="1"/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right" vertical="center" wrapText="1"/>
    </xf>
    <xf numFmtId="0" fontId="4" fillId="3" borderId="10" xfId="0" applyFont="1" applyFill="1" applyBorder="1" applyAlignment="1">
      <alignment wrapText="1"/>
    </xf>
  </cellXfs>
  <cellStyles count="1">
    <cellStyle name="Normal" xfId="0" builtinId="0"/>
  </cellStyles>
  <dxfs count="18">
    <dxf>
      <font>
        <name val="Arial"/>
        <scheme val="none"/>
      </font>
      <numFmt numFmtId="0" formatCode="General"/>
      <alignment horizontal="right" vertical="center" wrapText="1"/>
      <border>
        <left style="thin">
          <color theme="1" tint="0.749992370372631"/>
        </left>
        <right/>
        <top style="thin">
          <color theme="1" tint="0.749992370372631"/>
        </top>
        <bottom style="thin">
          <color theme="1" tint="0.749992370372631"/>
        </bottom>
        <vertical style="thin">
          <color theme="1" tint="0.749992370372631"/>
        </vertical>
        <horizontal style="thin">
          <color theme="1" tint="0.749992370372631"/>
        </horizontal>
      </border>
    </dxf>
    <dxf>
      <font>
        <name val="Arial"/>
        <scheme val="none"/>
      </font>
      <alignment vertical="center" wrapText="1"/>
      <border>
        <left/>
        <right style="thin">
          <color theme="1" tint="0.749992370372631"/>
        </right>
        <top style="thin">
          <color theme="1" tint="0.749992370372631"/>
        </top>
        <bottom style="thin">
          <color theme="1" tint="0.749992370372631"/>
        </bottom>
        <vertical style="thin">
          <color theme="1" tint="0.749992370372631"/>
        </vertical>
        <horizontal style="thin">
          <color theme="1" tint="0.749992370372631"/>
        </horizontal>
      </border>
    </dxf>
    <dxf>
      <border>
        <top style="thin">
          <color theme="1" tint="0.749992370372631"/>
        </top>
      </border>
    </dxf>
    <dxf>
      <border>
        <bottom style="thin">
          <color theme="1" tint="0.749992370372631"/>
        </bottom>
      </border>
    </dxf>
    <dxf>
      <border>
        <left style="thin">
          <color theme="1" tint="0.749992370372631"/>
        </left>
        <right style="thin">
          <color theme="1" tint="0.749992370372631"/>
        </right>
        <top style="thin">
          <color theme="1" tint="0.749992370372631"/>
        </top>
        <bottom style="thin">
          <color theme="1" tint="0.749992370372631"/>
        </bottom>
      </border>
    </dxf>
    <dxf>
      <font>
        <name val="Arial"/>
        <scheme val="none"/>
      </font>
      <alignment wrapText="1"/>
    </dxf>
    <dxf>
      <font>
        <name val="Arial"/>
        <scheme val="none"/>
      </font>
      <fill>
        <patternFill patternType="solid">
          <fgColor indexed="64"/>
          <bgColor theme="4" tint="-0.499984740745262"/>
        </patternFill>
      </fill>
      <alignment wrapText="1"/>
      <border>
        <left style="thin">
          <color theme="1" tint="0.749992370372631"/>
        </left>
        <right style="thin">
          <color theme="1" tint="0.749992370372631"/>
        </right>
        <top/>
        <bottom/>
        <vertical style="thin">
          <color theme="1" tint="0.749992370372631"/>
        </vertical>
        <horizontal style="thin">
          <color theme="1" tint="0.74999237037263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dd/mm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7D740E-A86C-0A42-B8CE-C295325D7732}" name="Ativos" displayName="Ativos" ref="A1:G21" totalsRowShown="0" headerRowDxfId="17" headerRowBorderDxfId="15" tableBorderDxfId="16" totalsRowBorderDxfId="14">
  <autoFilter ref="A1:G21" xr:uid="{277D740E-A86C-0A42-B8CE-C295325D7732}"/>
  <tableColumns count="7">
    <tableColumn id="1" xr3:uid="{D1AADA09-D12A-6944-B557-C0E8E6FA203C}" name="ID_Ativo" dataDxfId="13"/>
    <tableColumn id="2" xr3:uid="{4D4C780A-75E4-7E41-AF99-2EC41467B7F6}" name="Departamento" dataDxfId="12"/>
    <tableColumn id="3" xr3:uid="{B934457A-1B8A-644E-919C-24E94E93552F}" name="Tipo_Equipamento" dataDxfId="11"/>
    <tableColumn id="4" xr3:uid="{2821A03C-723B-714C-A040-A85BA20C3632}" name="Responsavel" dataDxfId="10"/>
    <tableColumn id="5" xr3:uid="{991491FC-4118-4A49-906A-4FC2C9BE6B8A}" name="Data_Aquisicao" dataDxfId="9"/>
    <tableColumn id="6" xr3:uid="{29F221C0-8FC4-0445-844E-F1DAF8B4B6CE}" name="Valor" dataDxfId="8"/>
    <tableColumn id="7" xr3:uid="{FEC0AAAF-B604-EC4C-8338-1676B8FA595F}" name="Status" dataDxfId="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2F545F-89C7-C64D-96A1-050876E4392D}" name="Table2" displayName="Table2" ref="A24:B27" totalsRowShown="0" headerRowDxfId="6" dataDxfId="5" headerRowBorderDxfId="3" tableBorderDxfId="4" totalsRowBorderDxfId="2">
  <autoFilter ref="A24:B27" xr:uid="{142F545F-89C7-C64D-96A1-050876E4392D}"/>
  <tableColumns count="2">
    <tableColumn id="1" xr3:uid="{3C30485A-7B4C-3745-89E9-D9281D54AD07}" name="Informações - Auditoria" dataDxfId="1"/>
    <tableColumn id="2" xr3:uid="{B3DAAC01-0BE5-854D-8BEF-B0E14CC15B03}" name="Resultado" dataDxfId="0">
      <calculatedColumnFormula array="1">_xlfn.XLOOKUP("AT012", Ativos[ID_Ativo], Ativos[Responsavel] &amp; " - "  &amp; Ativos[Status])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pane ySplit="1" topLeftCell="A8" activePane="bottomLeft" state="frozen"/>
      <selection pane="bottomLeft" activeCell="B28" sqref="B28"/>
      <selection activeCell="D1" sqref="D1"/>
    </sheetView>
  </sheetViews>
  <sheetFormatPr defaultColWidth="8.7109375" defaultRowHeight="15"/>
  <cols>
    <col min="1" max="1" width="23" customWidth="1"/>
    <col min="2" max="2" width="16.85546875" customWidth="1"/>
    <col min="3" max="3" width="21.42578125" customWidth="1"/>
    <col min="4" max="4" width="18" customWidth="1"/>
    <col min="5" max="5" width="18.28515625" customWidth="1"/>
    <col min="6" max="6" width="12" customWidth="1"/>
    <col min="7" max="7" width="14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>
      <c r="A2" s="4" t="s">
        <v>7</v>
      </c>
      <c r="B2" s="1" t="s">
        <v>8</v>
      </c>
      <c r="C2" s="1" t="s">
        <v>9</v>
      </c>
      <c r="D2" s="1" t="s">
        <v>10</v>
      </c>
      <c r="E2" s="2">
        <v>45361</v>
      </c>
      <c r="F2" s="3">
        <v>4200</v>
      </c>
      <c r="G2" s="5" t="s">
        <v>11</v>
      </c>
    </row>
    <row r="3" spans="1:7">
      <c r="A3" s="4" t="s">
        <v>12</v>
      </c>
      <c r="B3" s="1" t="s">
        <v>13</v>
      </c>
      <c r="C3" s="1" t="s">
        <v>14</v>
      </c>
      <c r="D3" s="1" t="s">
        <v>15</v>
      </c>
      <c r="E3" s="2">
        <v>45235</v>
      </c>
      <c r="F3" s="3">
        <v>980</v>
      </c>
      <c r="G3" s="5" t="s">
        <v>11</v>
      </c>
    </row>
    <row r="4" spans="1:7">
      <c r="A4" s="4" t="s">
        <v>16</v>
      </c>
      <c r="B4" s="1" t="s">
        <v>17</v>
      </c>
      <c r="C4" s="1" t="s">
        <v>18</v>
      </c>
      <c r="D4" s="1" t="s">
        <v>19</v>
      </c>
      <c r="E4" s="2">
        <v>44764</v>
      </c>
      <c r="F4" s="3">
        <v>18500</v>
      </c>
      <c r="G4" s="5" t="s">
        <v>11</v>
      </c>
    </row>
    <row r="5" spans="1:7">
      <c r="A5" s="4" t="s">
        <v>20</v>
      </c>
      <c r="B5" s="1" t="s">
        <v>8</v>
      </c>
      <c r="C5" s="1" t="s">
        <v>9</v>
      </c>
      <c r="D5" s="1" t="s">
        <v>21</v>
      </c>
      <c r="E5" s="2">
        <v>45306</v>
      </c>
      <c r="F5" s="3">
        <v>4200</v>
      </c>
      <c r="G5" s="5" t="s">
        <v>22</v>
      </c>
    </row>
    <row r="6" spans="1:7">
      <c r="A6" s="4" t="s">
        <v>23</v>
      </c>
      <c r="B6" s="1" t="s">
        <v>24</v>
      </c>
      <c r="C6" s="1" t="s">
        <v>25</v>
      </c>
      <c r="D6" s="1" t="s">
        <v>26</v>
      </c>
      <c r="E6" s="2">
        <v>45078</v>
      </c>
      <c r="F6" s="3">
        <v>2350</v>
      </c>
      <c r="G6" s="5" t="s">
        <v>11</v>
      </c>
    </row>
    <row r="7" spans="1:7">
      <c r="A7" s="4" t="s">
        <v>27</v>
      </c>
      <c r="B7" s="1" t="s">
        <v>13</v>
      </c>
      <c r="C7" s="1" t="s">
        <v>9</v>
      </c>
      <c r="D7" s="1" t="s">
        <v>28</v>
      </c>
      <c r="E7" s="2">
        <v>45432</v>
      </c>
      <c r="F7" s="3">
        <v>4500</v>
      </c>
      <c r="G7" s="5" t="s">
        <v>11</v>
      </c>
    </row>
    <row r="8" spans="1:7">
      <c r="A8" s="4" t="s">
        <v>29</v>
      </c>
      <c r="B8" s="1" t="s">
        <v>30</v>
      </c>
      <c r="C8" s="1" t="s">
        <v>14</v>
      </c>
      <c r="D8" s="1" t="s">
        <v>31</v>
      </c>
      <c r="E8" s="2">
        <v>45181</v>
      </c>
      <c r="F8" s="3">
        <v>980</v>
      </c>
      <c r="G8" s="5" t="s">
        <v>11</v>
      </c>
    </row>
    <row r="9" spans="1:7">
      <c r="A9" s="4" t="s">
        <v>32</v>
      </c>
      <c r="B9" s="1" t="s">
        <v>17</v>
      </c>
      <c r="C9" s="1" t="s">
        <v>33</v>
      </c>
      <c r="D9" s="1" t="s">
        <v>19</v>
      </c>
      <c r="E9" s="2">
        <v>44837</v>
      </c>
      <c r="F9" s="3">
        <v>1200</v>
      </c>
      <c r="G9" s="5" t="s">
        <v>34</v>
      </c>
    </row>
    <row r="10" spans="1:7">
      <c r="A10" s="4" t="s">
        <v>35</v>
      </c>
      <c r="B10" s="1" t="s">
        <v>8</v>
      </c>
      <c r="C10" s="1" t="s">
        <v>14</v>
      </c>
      <c r="D10" s="1" t="s">
        <v>10</v>
      </c>
      <c r="E10" s="2">
        <v>45235</v>
      </c>
      <c r="F10" s="3">
        <v>980</v>
      </c>
      <c r="G10" s="5" t="s">
        <v>11</v>
      </c>
    </row>
    <row r="11" spans="1:7">
      <c r="A11" s="4" t="s">
        <v>36</v>
      </c>
      <c r="B11" s="1" t="s">
        <v>24</v>
      </c>
      <c r="C11" s="1" t="s">
        <v>9</v>
      </c>
      <c r="D11" s="1" t="s">
        <v>37</v>
      </c>
      <c r="E11" s="2">
        <v>45330</v>
      </c>
      <c r="F11" s="3">
        <v>4200</v>
      </c>
      <c r="G11" s="5" t="s">
        <v>11</v>
      </c>
    </row>
    <row r="12" spans="1:7">
      <c r="A12" s="4" t="s">
        <v>38</v>
      </c>
      <c r="B12" s="1" t="s">
        <v>13</v>
      </c>
      <c r="C12" s="1" t="s">
        <v>25</v>
      </c>
      <c r="D12" s="1" t="s">
        <v>39</v>
      </c>
      <c r="E12" s="2">
        <v>44669</v>
      </c>
      <c r="F12" s="3">
        <v>2350</v>
      </c>
      <c r="G12" s="5" t="s">
        <v>22</v>
      </c>
    </row>
    <row r="13" spans="1:7">
      <c r="A13" s="4" t="s">
        <v>40</v>
      </c>
      <c r="B13" s="1" t="s">
        <v>30</v>
      </c>
      <c r="C13" s="1" t="s">
        <v>9</v>
      </c>
      <c r="D13" s="1" t="s">
        <v>41</v>
      </c>
      <c r="E13" s="2">
        <v>45384</v>
      </c>
      <c r="F13" s="3">
        <v>4200</v>
      </c>
      <c r="G13" s="5" t="s">
        <v>11</v>
      </c>
    </row>
    <row r="14" spans="1:7">
      <c r="A14" s="4" t="s">
        <v>42</v>
      </c>
      <c r="B14" s="1" t="s">
        <v>17</v>
      </c>
      <c r="C14" s="1" t="s">
        <v>43</v>
      </c>
      <c r="D14" s="1" t="s">
        <v>19</v>
      </c>
      <c r="E14" s="2">
        <v>44951</v>
      </c>
      <c r="F14" s="3">
        <v>3100</v>
      </c>
      <c r="G14" s="5" t="s">
        <v>11</v>
      </c>
    </row>
    <row r="15" spans="1:7">
      <c r="A15" s="4" t="s">
        <v>44</v>
      </c>
      <c r="B15" s="1" t="s">
        <v>8</v>
      </c>
      <c r="C15" s="1" t="s">
        <v>25</v>
      </c>
      <c r="D15" s="1" t="s">
        <v>45</v>
      </c>
      <c r="E15" s="2">
        <v>44904</v>
      </c>
      <c r="F15" s="3">
        <v>2350</v>
      </c>
      <c r="G15" s="5" t="s">
        <v>34</v>
      </c>
    </row>
    <row r="16" spans="1:7">
      <c r="A16" s="4" t="s">
        <v>46</v>
      </c>
      <c r="B16" s="1" t="s">
        <v>24</v>
      </c>
      <c r="C16" s="1" t="s">
        <v>14</v>
      </c>
      <c r="D16" s="1" t="s">
        <v>47</v>
      </c>
      <c r="E16" s="2">
        <v>45152</v>
      </c>
      <c r="F16" s="3">
        <v>980</v>
      </c>
      <c r="G16" s="5" t="s">
        <v>11</v>
      </c>
    </row>
    <row r="17" spans="1:7">
      <c r="A17" s="4" t="s">
        <v>48</v>
      </c>
      <c r="B17" s="1" t="s">
        <v>13</v>
      </c>
      <c r="C17" s="1" t="s">
        <v>18</v>
      </c>
      <c r="D17" s="1" t="s">
        <v>19</v>
      </c>
      <c r="E17" s="2">
        <v>44377</v>
      </c>
      <c r="F17" s="3">
        <v>18500</v>
      </c>
      <c r="G17" s="5" t="s">
        <v>11</v>
      </c>
    </row>
    <row r="18" spans="1:7">
      <c r="A18" s="4" t="s">
        <v>49</v>
      </c>
      <c r="B18" s="1" t="s">
        <v>30</v>
      </c>
      <c r="C18" s="1" t="s">
        <v>25</v>
      </c>
      <c r="D18" s="1" t="s">
        <v>50</v>
      </c>
      <c r="E18" s="2">
        <v>45002</v>
      </c>
      <c r="F18" s="3">
        <v>2350</v>
      </c>
      <c r="G18" s="5" t="s">
        <v>11</v>
      </c>
    </row>
    <row r="19" spans="1:7">
      <c r="A19" s="4" t="s">
        <v>51</v>
      </c>
      <c r="B19" s="1" t="s">
        <v>17</v>
      </c>
      <c r="C19" s="1" t="s">
        <v>9</v>
      </c>
      <c r="D19" s="1" t="s">
        <v>19</v>
      </c>
      <c r="E19" s="2">
        <v>45454</v>
      </c>
      <c r="F19" s="3">
        <v>4500</v>
      </c>
      <c r="G19" s="5" t="s">
        <v>22</v>
      </c>
    </row>
    <row r="20" spans="1:7">
      <c r="A20" s="4" t="s">
        <v>52</v>
      </c>
      <c r="B20" s="1" t="s">
        <v>8</v>
      </c>
      <c r="C20" s="1" t="s">
        <v>33</v>
      </c>
      <c r="D20" s="1" t="s">
        <v>45</v>
      </c>
      <c r="E20" s="2">
        <v>44809</v>
      </c>
      <c r="F20" s="3">
        <v>1200</v>
      </c>
      <c r="G20" s="5" t="s">
        <v>11</v>
      </c>
    </row>
    <row r="21" spans="1:7">
      <c r="A21" s="9" t="s">
        <v>53</v>
      </c>
      <c r="B21" s="10" t="s">
        <v>24</v>
      </c>
      <c r="C21" s="10" t="s">
        <v>9</v>
      </c>
      <c r="D21" s="10" t="s">
        <v>54</v>
      </c>
      <c r="E21" s="11">
        <v>45379</v>
      </c>
      <c r="F21" s="12">
        <v>4200</v>
      </c>
      <c r="G21" s="13" t="s">
        <v>11</v>
      </c>
    </row>
    <row r="24" spans="1:7">
      <c r="A24" s="16" t="s">
        <v>55</v>
      </c>
      <c r="B24" s="16" t="s">
        <v>56</v>
      </c>
    </row>
    <row r="25" spans="1:7" ht="27">
      <c r="A25" s="14" t="s">
        <v>57</v>
      </c>
      <c r="B25" s="15" t="str" cm="1">
        <f t="array" ref="B25">_xlfn.XLOOKUP("AT012", Ativos[ID_Ativo], Ativos[Responsavel] &amp; " - "  &amp; Ativos[Status])</f>
        <v>Rebecca Dias - Em uso</v>
      </c>
    </row>
    <row r="26" spans="1:7">
      <c r="A26" s="14" t="s">
        <v>58</v>
      </c>
      <c r="B26" s="15">
        <f>_xlfn.XLOOKUP("AT005", Ativos[ID_Ativo], Ativos[Valor])</f>
        <v>2350</v>
      </c>
    </row>
    <row r="27" spans="1:7" ht="43.5">
      <c r="A27" s="14" t="s">
        <v>59</v>
      </c>
      <c r="B27" s="15" t="str" cm="1">
        <f t="array" ref="B27">_xlfn.XLOOKUP("AT020", Ativos[ID_Ativo], Ativos[Departamento] &amp; " - " &amp; Ativos[Responsavel] &amp; " - "  &amp; Ativos[Valor])</f>
        <v>Suprimentos - Jeni Alves - 4200</v>
      </c>
    </row>
  </sheetData>
  <phoneticPr fontId="3" alignment="center"/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Henrique</cp:lastModifiedBy>
  <cp:revision>0</cp:revision>
  <dcterms:created xsi:type="dcterms:W3CDTF">2026-08-02T19:02:00Z</dcterms:created>
  <dcterms:modified xsi:type="dcterms:W3CDTF">2026-08-03T21:12:45Z</dcterms:modified>
  <cp:category/>
  <cp:contentStatus/>
</cp:coreProperties>
</file>