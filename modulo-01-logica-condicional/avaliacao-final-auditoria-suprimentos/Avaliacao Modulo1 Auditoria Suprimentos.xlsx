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7"/>
  <workbookPr/>
  <xr:revisionPtr revIDLastSave="105" documentId="11_D3C3F77107D0DC006E0697C13AD50B26C8C44869" xr6:coauthVersionLast="47" xr6:coauthVersionMax="47" xr10:uidLastSave="{5D1367E9-3EDD-DA47-B44A-B790C4835BBC}"/>
  <bookViews>
    <workbookView xWindow="0" yWindow="0" windowWidth="16384" windowHeight="8192" tabRatio="500" xr2:uid="{00000000-000D-0000-FFFF-FFFF00000000}"/>
  </bookViews>
  <sheets>
    <sheet name="Pedidos" sheetId="1" r:id="rId1"/>
    <sheet name="Fornecedores" sheetId="2" r:id="rId2"/>
  </sheets>
  <definedNames>
    <definedName name="Criticidade">Pedidos[Criticidade]</definedName>
    <definedName name="Data_Pedido">Pedidos[Data_Pedido]</definedName>
    <definedName name="Dias_Atraso">Pedidos[Dias_Atraso]</definedName>
    <definedName name="Homologado">Pedidos[Homologado]</definedName>
    <definedName name="Homologado2">Fornecedores[Homologado]</definedName>
    <definedName name="ID_Fornecedor">Pedidos[ID_Fornecedor]</definedName>
    <definedName name="ID_Fornecedor2">Fornecedores[ID_Fornecedor]</definedName>
    <definedName name="ID_Pedido">Pedidos[ID_Pedido]</definedName>
    <definedName name="Nivel_Aprovacao">Pedidos[Nivel_Aprovacao]</definedName>
    <definedName name="Nome_Fornecedor">Pedidos[Nome_Fornecedor]</definedName>
    <definedName name="Nome_Fornecedor2">Fornecedores[Nome_Fornecedor]</definedName>
    <definedName name="Quantidade">Pedidos[Quantidade]</definedName>
    <definedName name="Setor">Pedidos[Setor]</definedName>
    <definedName name="Status">Pedidos[Status]</definedName>
    <definedName name="Urgente">Pedidos[Urgente]</definedName>
    <definedName name="Valor_Pedido">Pedidos[Valor_Pedido]</definedName>
    <definedName name="Valor_Unitario">Pedidos[Valor_Unitario]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N2" i="1" a="1"/>
  <c r="N2" i="1"/>
  <c r="N3" i="1" a="1"/>
  <c r="N3" i="1"/>
  <c r="N4" i="1" a="1"/>
  <c r="N4" i="1"/>
  <c r="N5" i="1" a="1"/>
  <c r="N5" i="1"/>
  <c r="N6" i="1" a="1"/>
  <c r="N6" i="1"/>
  <c r="N7" i="1" a="1"/>
  <c r="N7" i="1"/>
  <c r="N8" i="1" a="1"/>
  <c r="N8" i="1"/>
  <c r="N9" i="1" a="1"/>
  <c r="N9" i="1"/>
  <c r="N10" i="1" a="1"/>
  <c r="N10" i="1"/>
  <c r="N11" i="1" a="1"/>
  <c r="N11" i="1"/>
  <c r="N12" i="1" a="1"/>
  <c r="N12" i="1"/>
  <c r="N13" i="1" a="1"/>
  <c r="N13" i="1"/>
  <c r="N14" i="1" a="1"/>
  <c r="N14" i="1"/>
  <c r="N15" i="1" a="1"/>
  <c r="N15" i="1"/>
  <c r="N16" i="1" a="1"/>
  <c r="N16" i="1"/>
  <c r="N17" i="1" a="1"/>
  <c r="N17" i="1"/>
  <c r="N18" i="1" a="1"/>
  <c r="N18" i="1"/>
  <c r="N19" i="1" a="1"/>
  <c r="N19" i="1"/>
  <c r="N20" i="1" a="1"/>
  <c r="N20" i="1"/>
  <c r="N21" i="1" a="1"/>
  <c r="N21" i="1"/>
  <c r="B26" i="1"/>
  <c r="K2" i="1"/>
  <c r="M2" i="1" a="1"/>
  <c r="M2" i="1"/>
  <c r="K3" i="1"/>
  <c r="M3" i="1" a="1"/>
  <c r="M3" i="1"/>
  <c r="K4" i="1"/>
  <c r="M4" i="1" a="1"/>
  <c r="K5" i="1"/>
  <c r="M5" i="1" a="1"/>
  <c r="K6" i="1"/>
  <c r="M6" i="1" a="1"/>
  <c r="K7" i="1"/>
  <c r="M7" i="1" a="1"/>
  <c r="K8" i="1"/>
  <c r="M8" i="1" a="1"/>
  <c r="K9" i="1"/>
  <c r="M9" i="1" a="1"/>
  <c r="K10" i="1"/>
  <c r="M10" i="1" a="1"/>
  <c r="K11" i="1"/>
  <c r="M11" i="1" a="1"/>
  <c r="K12" i="1"/>
  <c r="M12" i="1" a="1"/>
  <c r="K13" i="1"/>
  <c r="M13" i="1" a="1"/>
  <c r="K14" i="1"/>
  <c r="M14" i="1" a="1"/>
  <c r="K15" i="1"/>
  <c r="M15" i="1" a="1"/>
  <c r="K16" i="1"/>
  <c r="M16" i="1" a="1"/>
  <c r="K17" i="1"/>
  <c r="M17" i="1" a="1"/>
  <c r="K18" i="1"/>
  <c r="M18" i="1" a="1"/>
  <c r="K19" i="1"/>
  <c r="M19" i="1" a="1"/>
  <c r="K20" i="1"/>
  <c r="M20" i="1" a="1"/>
  <c r="K21" i="1"/>
  <c r="M21" i="1" a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B28" i="1"/>
  <c r="B27" i="1"/>
  <c r="B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<sst xmlns="http://schemas.openxmlformats.org/spreadsheetml/2006/main" count="153" uniqueCount="73">
  <si>
    <t>ID_Pedido</t>
  </si>
  <si>
    <t>ID_Fornecedor</t>
  </si>
  <si>
    <t>Setor</t>
  </si>
  <si>
    <t>Valor_Pedido</t>
  </si>
  <si>
    <t>Quantidade</t>
  </si>
  <si>
    <t>Urgente</t>
  </si>
  <si>
    <t>Data_Pedido</t>
  </si>
  <si>
    <t>Dias_Atraso</t>
  </si>
  <si>
    <t>Status</t>
  </si>
  <si>
    <t>Nome_Fornecedor</t>
  </si>
  <si>
    <t>Homologado</t>
  </si>
  <si>
    <t>Valor_Unitario</t>
  </si>
  <si>
    <t>Nivel_Aprovacao</t>
  </si>
  <si>
    <t>Criticidade</t>
  </si>
  <si>
    <t>PED301</t>
  </si>
  <si>
    <t>F001</t>
  </si>
  <si>
    <t>Produção</t>
  </si>
  <si>
    <t>Não</t>
  </si>
  <si>
    <t>Entregue</t>
  </si>
  <si>
    <t>PED302</t>
  </si>
  <si>
    <t>F002</t>
  </si>
  <si>
    <t>Manutenção</t>
  </si>
  <si>
    <t>Pendente</t>
  </si>
  <si>
    <t>PED303</t>
  </si>
  <si>
    <t>F013</t>
  </si>
  <si>
    <t>Engenharia</t>
  </si>
  <si>
    <t>Sim</t>
  </si>
  <si>
    <t>PED304</t>
  </si>
  <si>
    <t>F004</t>
  </si>
  <si>
    <t>PED305</t>
  </si>
  <si>
    <t>F005</t>
  </si>
  <si>
    <t>Aprovado</t>
  </si>
  <si>
    <t>PED306</t>
  </si>
  <si>
    <t>F003</t>
  </si>
  <si>
    <t>Segurança do Trabalho</t>
  </si>
  <si>
    <t>PED307</t>
  </si>
  <si>
    <t>F011</t>
  </si>
  <si>
    <t>PED308</t>
  </si>
  <si>
    <t>F007</t>
  </si>
  <si>
    <t>PED309</t>
  </si>
  <si>
    <t>F008</t>
  </si>
  <si>
    <t>PED310</t>
  </si>
  <si>
    <t>PED311</t>
  </si>
  <si>
    <t>F009</t>
  </si>
  <si>
    <t>Qualidade</t>
  </si>
  <si>
    <t>PED312</t>
  </si>
  <si>
    <t>F006</t>
  </si>
  <si>
    <t>PED313</t>
  </si>
  <si>
    <t>F012</t>
  </si>
  <si>
    <t>PED314</t>
  </si>
  <si>
    <t>F010</t>
  </si>
  <si>
    <t>PED315</t>
  </si>
  <si>
    <t>PED316</t>
  </si>
  <si>
    <t>PED317</t>
  </si>
  <si>
    <t>PED318</t>
  </si>
  <si>
    <t>PED319</t>
  </si>
  <si>
    <t>PED320</t>
  </si>
  <si>
    <t>Aços do Brasil</t>
  </si>
  <si>
    <t>Solda Forte Ltda</t>
  </si>
  <si>
    <t>EPI Segurança SA</t>
  </si>
  <si>
    <t>Ferramentas Tec</t>
  </si>
  <si>
    <t>Elétrica Nuclear Ltda</t>
  </si>
  <si>
    <t>Metalúrgica Sul</t>
  </si>
  <si>
    <t>Válvulas &amp; Cia</t>
  </si>
  <si>
    <t>Rolamentos Industrial</t>
  </si>
  <si>
    <t>Tintas Anticorrosivas SA</t>
  </si>
  <si>
    <t>Isolamento Térmico Nacional</t>
  </si>
  <si>
    <t>Resumo Tabela</t>
  </si>
  <si>
    <t>Total R$ Manutenção Pendente</t>
  </si>
  <si>
    <t>Qtd Emergencial e Urgente</t>
  </si>
  <si>
    <t>Total R$ 01 a 15/07/2026</t>
  </si>
  <si>
    <t>Qtd Diretoria s/ Fornecedor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</si>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</sst>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[$R$]\ * #,##0.00_-;\-[$R$]\ * #,##0.00_-;_-[$R$]\ * &quot;-&quot;??_-;_-@_-" x16r2:formatCode16="_-[$R$-en-BR]\ * #,##0.00_-;\-[$R$-en-BR]\ * #,##0.00_-;_-[$R$-en-BR]\ * &quot;-&quot;??_-;_-@_-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color rgb="FFFFFFFF"/>
      <name val="Arial"/>
      <family val="18"/>
    </font>
    <font>
      <sz val="11"/>
      <color theme="1"/>
      <name val="Arial"/>
      <family val="18"/>
    </font>
    <font>
      <sz val="11"/>
      <name val="Arial"/>
      <family val="18"/>
    </font>
    <font>
      <i/>
      <sz val="11"/>
      <color theme="1"/>
      <name val="Arial"/>
      <family val="18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theme="1" tint="0.749992370372631"/>
      </left>
      <right style="thin">
        <color theme="1" tint="0.749992370372631"/>
      </right>
      <top style="thin">
        <color theme="1" tint="0.749992370372631"/>
      </top>
      <bottom style="thin">
        <color theme="1" tint="0.74999237037263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3" xfId="0" applyFont="1" applyBorder="1"/>
    <xf numFmtId="0" fontId="2" fillId="0" borderId="9" xfId="0" applyFont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2" xfId="0" applyFont="1" applyBorder="1"/>
    <xf numFmtId="0" fontId="5" fillId="0" borderId="1" xfId="0" applyFont="1" applyBorder="1"/>
    <xf numFmtId="4" fontId="5" fillId="0" borderId="1" xfId="0" applyNumberFormat="1" applyFont="1" applyBorder="1"/>
    <xf numFmtId="164" fontId="5" fillId="0" borderId="1" xfId="0" applyNumberFormat="1" applyFont="1" applyBorder="1"/>
    <xf numFmtId="0" fontId="6" fillId="0" borderId="1" xfId="0" applyFont="1" applyBorder="1"/>
    <xf numFmtId="2" fontId="6" fillId="0" borderId="1" xfId="0" applyNumberFormat="1" applyFont="1" applyBorder="1"/>
    <xf numFmtId="0" fontId="6" fillId="0" borderId="3" xfId="0" applyFont="1" applyBorder="1"/>
    <xf numFmtId="0" fontId="5" fillId="0" borderId="7" xfId="0" applyFont="1" applyBorder="1"/>
    <xf numFmtId="0" fontId="5" fillId="0" borderId="8" xfId="0" applyFont="1" applyBorder="1"/>
    <xf numFmtId="4" fontId="5" fillId="0" borderId="8" xfId="0" applyNumberFormat="1" applyFont="1" applyBorder="1"/>
    <xf numFmtId="164" fontId="5" fillId="0" borderId="8" xfId="0" applyNumberFormat="1" applyFont="1" applyBorder="1"/>
    <xf numFmtId="0" fontId="6" fillId="0" borderId="8" xfId="0" applyFont="1" applyBorder="1"/>
    <xf numFmtId="2" fontId="6" fillId="0" borderId="8" xfId="0" applyNumberFormat="1" applyFont="1" applyBorder="1"/>
    <xf numFmtId="0" fontId="6" fillId="0" borderId="9" xfId="0" applyFont="1" applyBorder="1"/>
    <xf numFmtId="0" fontId="4" fillId="0" borderId="0" xfId="0" applyFont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165" fontId="4" fillId="0" borderId="10" xfId="0" applyNumberFormat="1" applyFont="1" applyBorder="1" applyAlignment="1">
      <alignment horizontal="left" vertical="center" wrapText="1"/>
    </xf>
    <xf numFmtId="0" fontId="4" fillId="0" borderId="10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30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2" formatCode="0.0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left" vertical="center" textRotation="0" wrapText="1" indent="0" justifyLastLine="0" shrinkToFit="0" readingOrder="0"/>
      <border>
        <left style="thin">
          <color theme="1" tint="0.749992370372631"/>
        </left>
        <right style="thin">
          <color theme="1" tint="0.749992370372631"/>
        </right>
        <top style="thin">
          <color theme="1" tint="0.749992370372631"/>
        </top>
        <bottom style="thin">
          <color theme="1" tint="0.749992370372631"/>
        </bottom>
        <vertical style="thin">
          <color theme="1" tint="0.749992370372631"/>
        </vertical>
        <horizontal style="thin">
          <color theme="1" tint="0.74999237037263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center" textRotation="0" wrapText="1" indent="0" justifyLastLine="0" shrinkToFit="0" readingOrder="0"/>
      <border>
        <left style="thin">
          <color theme="1" tint="0.749992370372631"/>
        </left>
        <right style="thin">
          <color theme="1" tint="0.749992370372631"/>
        </right>
        <top style="thin">
          <color theme="1" tint="0.749992370372631"/>
        </top>
        <bottom style="thin">
          <color theme="1" tint="0.749992370372631"/>
        </bottom>
        <vertical style="thin">
          <color theme="1" tint="0.749992370372631"/>
        </vertical>
        <horizontal style="thin">
          <color theme="1" tint="0.74999237037263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dd/mm/yyyy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4" formatCode="#,##0.0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808080"/>
        <name val="Arial"/>
        <scheme val="none"/>
      </font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00336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39202D-71F5-BE47-B8DD-266C199EA77A}" name="Pedidos" displayName="Pedidos" ref="A1:N21" totalsRowShown="0" headerRowDxfId="29" dataDxfId="27" headerRowBorderDxfId="28" tableBorderDxfId="26" totalsRowBorderDxfId="25">
  <autoFilter ref="A1:N21" xr:uid="{D739202D-71F5-BE47-B8DD-266C199EA77A}"/>
  <tableColumns count="14">
    <tableColumn id="1" xr3:uid="{3E9E3956-8BBC-9A4F-A507-EBB5E9FA1410}" name="ID_Pedido" dataDxfId="24"/>
    <tableColumn id="2" xr3:uid="{603B1AFD-1599-4443-90DD-74FC2AA3FA2C}" name="ID_Fornecedor" dataDxfId="23"/>
    <tableColumn id="3" xr3:uid="{824C5D01-9671-F548-AFA6-69EBCC871DA1}" name="Setor" dataDxfId="22"/>
    <tableColumn id="4" xr3:uid="{9E32CD15-A339-164C-A613-7528AD756D84}" name="Valor_Pedido" dataDxfId="21"/>
    <tableColumn id="5" xr3:uid="{F4181581-F517-C041-9E84-CA2AC75B00A7}" name="Quantidade" dataDxfId="20"/>
    <tableColumn id="6" xr3:uid="{119668A1-5AC2-9647-86A0-2F758BB6AB8F}" name="Urgente" dataDxfId="19"/>
    <tableColumn id="7" xr3:uid="{89E908C2-07B7-4A45-8C86-E848DC9DF45C}" name="Data_Pedido" dataDxfId="18"/>
    <tableColumn id="8" xr3:uid="{6EDB84CD-4C49-5343-97E5-EF3E4AE7E09B}" name="Dias_Atraso" dataDxfId="17"/>
    <tableColumn id="9" xr3:uid="{463221F0-8C4F-AC42-81A8-72D8924A73E8}" name="Status" dataDxfId="16"/>
    <tableColumn id="10" xr3:uid="{A5617B68-6E66-7846-9DA1-FC75CEEC96C2}" name="Nome_Fornecedor" dataDxfId="15">
      <calculatedColumnFormula>IFERROR(_xlfn.XLOOKUP(Pedidos[[#This Row],[ID_Fornecedor]],Fornecedores[ID_Fornecedor],Fornecedores[Nome_Fornecedor]), "Fornecedor não cadastrado")</calculatedColumnFormula>
    </tableColumn>
    <tableColumn id="11" xr3:uid="{FE21CA45-1E95-AE49-BCD0-B7E9995BD0A2}" name="Homologado" dataDxfId="14">
      <calculatedColumnFormula>IFERROR(_xlfn.XLOOKUP(Pedidos[[#This Row],[ID_Fornecedor]],Fornecedores[ID_Fornecedor],Fornecedores[Homologado]), "Fornecedor não cadastrado")</calculatedColumnFormula>
    </tableColumn>
    <tableColumn id="12" xr3:uid="{041B068A-C340-6A41-BFB3-D0BFA27AB33D}" name="Valor_Unitario" dataDxfId="0">
      <calculatedColumnFormula>IFERROR(Pedidos[[#This Row],[Valor_Pedido]]/Pedidos[[#This Row],[Quantidade]],  "Revisar Quantidade")</calculatedColumnFormula>
    </tableColumn>
    <tableColumn id="13" xr3:uid="{5E570CA2-4CE2-C64C-A64D-A6EB71D6D90C}" name="Nivel_Aprovacao" dataDxfId="13">
      <calculatedColumnFormula array="1">_xlfn.IFS(AND(Pedidos[[#This Row],[Valor_Pedido]]&lt;=5000,Pedidos[[#This Row],[Homologado]]="Sim"),"Aprovação Automática", OR(Pedidos[[#This Row],[Valor_Pedido]]&lt;=20000,Pedidos[[#This Row],[Urgente]]="Sim"), "Aprovação Gerência", TRUE, "Aprovação Diretoria")</calculatedColumnFormula>
    </tableColumn>
    <tableColumn id="14" xr3:uid="{0ED44EEC-3233-5447-B768-BB36F8C5B5AD}" name="Criticidade" dataDxfId="1">
      <calculatedColumnFormula array="1">_xlfn.IFS(Pedidos[[#This Row],[Dias_Atraso]]&lt;=0, "Em Dia", Pedidos[[#This Row],[Dias_Atraso]]&lt;=3, "Atenção", Pedidos[[#This Row],[Dias_Atraso]]&lt;=7, "Crítico", Pedidos[[#This Row],[Dias_Atraso]]&gt;7, "Emergencial")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9D8267-0A13-F946-9842-424F619D8FBB}" name="Table2" displayName="Table2" ref="A24:B28" totalsRowShown="0" headerRowDxfId="12" dataDxfId="11">
  <autoFilter ref="A24:B28" xr:uid="{7F9D8267-0A13-F946-9842-424F619D8FBB}"/>
  <tableColumns count="2">
    <tableColumn id="1" xr3:uid="{416B05F3-307A-BA4C-B219-75F77A07C810}" name="Resumo Tabela" dataDxfId="10"/>
    <tableColumn id="2" xr3:uid="{96A828EB-77E7-274C-9F31-86F1F14A84D7}" name="Resultado" dataDxfId="9">
      <calculatedColumnFormula>SUMIFS(Pedidos[Valor_Pedido], Pedidos[Setor], "Manutenção", Pedidos[Status], "Pendente")</calculatedColumnFormula>
    </tableColumn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4851A3-9227-41BD-9FFA-03865C552194}" name="Fornecedores" displayName="Fornecedores" ref="A1:C11" totalsRowShown="0" headerRowDxfId="8" headerRowBorderDxfId="7" tableBorderDxfId="6" totalsRowBorderDxfId="5">
  <autoFilter ref="A1:C11" xr:uid="{424851A3-9227-41BD-9FFA-03865C552194}"/>
  <tableColumns count="3">
    <tableColumn id="1" xr3:uid="{405F44D8-596C-4722-B863-6A60568CC0DC}" name="ID_Fornecedor" dataDxfId="4"/>
    <tableColumn id="2" xr3:uid="{EACAEC73-C226-44A0-A2C7-0C54A4E8EF1C}" name="Nome_Fornecedor" dataDxfId="3"/>
    <tableColumn id="3" xr3:uid="{407A5F0C-9CD7-4D37-AF07-E705A7DF2AEF}" name="Homologado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topLeftCell="G1" zoomScaleNormal="100" workbookViewId="0">
      <pane ySplit="1" topLeftCell="G2" activePane="bottomLeft" state="frozen"/>
      <selection activeCell="G1" sqref="G1"/>
      <selection pane="bottomLeft" activeCell="L5" sqref="L5"/>
    </sheetView>
  </sheetViews>
  <sheetFormatPr defaultColWidth="8.7421875" defaultRowHeight="13.5" x14ac:dyDescent="0.15"/>
  <cols>
    <col min="1" max="1" width="13.1796875" style="13" customWidth="1"/>
    <col min="2" max="2" width="17.21875" style="13" customWidth="1"/>
    <col min="3" max="3" width="20.04296875" style="13" customWidth="1"/>
    <col min="4" max="4" width="16.140625" style="13" customWidth="1"/>
    <col min="5" max="5" width="14.390625" style="13" customWidth="1"/>
    <col min="6" max="6" width="10.89453125" style="13" customWidth="1"/>
    <col min="7" max="7" width="15.46875" style="13" customWidth="1"/>
    <col min="8" max="8" width="14.9296875" style="13" customWidth="1"/>
    <col min="9" max="9" width="11.02734375" style="13" customWidth="1"/>
    <col min="10" max="10" width="26.76953125" style="13" bestFit="1" customWidth="1"/>
    <col min="11" max="11" width="25.828125" style="13" bestFit="1" customWidth="1"/>
    <col min="12" max="12" width="18.96484375" style="13" bestFit="1" customWidth="1"/>
    <col min="13" max="13" width="20.84765625" style="13" bestFit="1" customWidth="1"/>
    <col min="14" max="14" width="13.71875" style="13" customWidth="1"/>
    <col min="15" max="16384" width="8.7421875" style="13"/>
  </cols>
  <sheetData>
    <row r="1" spans="1:14" ht="26.25" x14ac:dyDescent="0.1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2" t="s">
        <v>13</v>
      </c>
    </row>
    <row r="2" spans="1:14" x14ac:dyDescent="0.15">
      <c r="A2" s="14" t="s">
        <v>14</v>
      </c>
      <c r="B2" s="15" t="s">
        <v>15</v>
      </c>
      <c r="C2" s="15" t="s">
        <v>16</v>
      </c>
      <c r="D2" s="16">
        <v>4200</v>
      </c>
      <c r="E2" s="15">
        <v>20</v>
      </c>
      <c r="F2" s="15" t="s">
        <v>17</v>
      </c>
      <c r="G2" s="17">
        <v>46206</v>
      </c>
      <c r="H2" s="15">
        <v>-1</v>
      </c>
      <c r="I2" s="15" t="s">
        <v>18</v>
      </c>
      <c r="J2" s="18" t="str">
        <f>IFERROR(_xlfn.XLOOKUP(Pedidos[[#This Row],[ID_Fornecedor]],Fornecedores[ID_Fornecedor],Fornecedores[Nome_Fornecedor]), "Fornecedor não cadastrado")</f>
        <v>Aços do Brasil</v>
      </c>
      <c r="K2" s="18" t="str">
        <f>IFERROR(_xlfn.XLOOKUP(Pedidos[[#This Row],[ID_Fornecedor]],Fornecedores[ID_Fornecedor],Fornecedores[Homologado]), "Fornecedor não cadastrado")</f>
        <v>Sim</v>
      </c>
      <c r="L2" s="19">
        <f>IFERROR(Pedidos[[#This Row],[Valor_Pedido]]/Pedidos[[#This Row],[Quantidade]],  "Revisar Quantidade")</f>
        <v>210</v>
      </c>
      <c r="M2" s="18" t="str" cm="1">
        <f t="array" ref="M2">_xlfn.IFS(AND(Pedidos[[#This Row],[Valor_Pedido]]&lt;=5000,Pedidos[[#This Row],[Homologado]]="Sim"),"Aprovação Automática", OR(Pedidos[[#This Row],[Valor_Pedido]]&lt;=20000,Pedidos[[#This Row],[Urgente]]="Sim"), "Aprovação Gerência", TRUE, "Aprovação Diretoria")</f>
        <v>Aprovação Automática</v>
      </c>
      <c r="N2" s="20" t="str" cm="1">
        <f t="array" ref="N2">_xlfn.IFS(Pedidos[[#This Row],[Dias_Atraso]]&lt;=0, "Em Dia", Pedidos[[#This Row],[Dias_Atraso]]&lt;=3, "Atenção", Pedidos[[#This Row],[Dias_Atraso]]&lt;=7, "Crítico", Pedidos[[#This Row],[Dias_Atraso]]&gt;7, "Emergencial")</f>
        <v>Em Dia</v>
      </c>
    </row>
    <row r="3" spans="1:14" x14ac:dyDescent="0.15">
      <c r="A3" s="14" t="s">
        <v>19</v>
      </c>
      <c r="B3" s="15" t="s">
        <v>20</v>
      </c>
      <c r="C3" s="15" t="s">
        <v>21</v>
      </c>
      <c r="D3" s="16">
        <v>18500</v>
      </c>
      <c r="E3" s="15">
        <v>50</v>
      </c>
      <c r="F3" s="15" t="s">
        <v>17</v>
      </c>
      <c r="G3" s="17">
        <v>46208</v>
      </c>
      <c r="H3" s="15">
        <v>5</v>
      </c>
      <c r="I3" s="15" t="s">
        <v>22</v>
      </c>
      <c r="J3" s="18" t="str">
        <f>IFERROR(_xlfn.XLOOKUP(Pedidos[[#This Row],[ID_Fornecedor]],Fornecedores[ID_Fornecedor],Fornecedores[Nome_Fornecedor]), "Fornecedor não cadastrado")</f>
        <v>Solda Forte Ltda</v>
      </c>
      <c r="K3" s="18" t="str">
        <f>IFERROR(_xlfn.XLOOKUP(Pedidos[[#This Row],[ID_Fornecedor]],Fornecedores[ID_Fornecedor],Fornecedores[Homologado]), "Fornecedor não cadastrado")</f>
        <v>Sim</v>
      </c>
      <c r="L3" s="19">
        <f>IFERROR(Pedidos[[#This Row],[Valor_Pedido]]/Pedidos[[#This Row],[Quantidade]],  "Revisar Quantidade")</f>
        <v>370</v>
      </c>
      <c r="M3" s="18" t="str" cm="1">
        <f t="array" ref="M3">_xlfn.IFS(AND(Pedidos[[#This Row],[Valor_Pedido]]&lt;=5000,Pedidos[[#This Row],[Homologado]]="Sim"),"Aprovação Automática", OR(Pedidos[[#This Row],[Valor_Pedido]]&lt;=20000,Pedidos[[#This Row],[Urgente]]="Sim"), "Aprovação Gerência", TRUE, "Aprovação Diretoria")</f>
        <v>Aprovação Gerência</v>
      </c>
      <c r="N3" s="20" t="str" cm="1">
        <f t="array" ref="N3">_xlfn.IFS(Pedidos[[#This Row],[Dias_Atraso]]&lt;=0, "Em Dia", Pedidos[[#This Row],[Dias_Atraso]]&lt;=3, "Atenção", Pedidos[[#This Row],[Dias_Atraso]]&lt;=7, "Crítico", Pedidos[[#This Row],[Dias_Atraso]]&gt;7, "Emergencial")</f>
        <v>Crítico</v>
      </c>
    </row>
    <row r="4" spans="1:14" x14ac:dyDescent="0.15">
      <c r="A4" s="14" t="s">
        <v>23</v>
      </c>
      <c r="B4" s="15" t="s">
        <v>24</v>
      </c>
      <c r="C4" s="15" t="s">
        <v>25</v>
      </c>
      <c r="D4" s="16">
        <v>3400</v>
      </c>
      <c r="E4" s="15">
        <v>5</v>
      </c>
      <c r="F4" s="15" t="s">
        <v>26</v>
      </c>
      <c r="G4" s="17">
        <v>46211</v>
      </c>
      <c r="H4" s="15">
        <v>9</v>
      </c>
      <c r="I4" s="15" t="s">
        <v>22</v>
      </c>
      <c r="J4" s="18" t="str">
        <f>IFERROR(_xlfn.XLOOKUP(Pedidos[[#This Row],[ID_Fornecedor]],Fornecedores[ID_Fornecedor],Fornecedores[Nome_Fornecedor]), "Fornecedor não cadastrado")</f>
        <v>Fornecedor não cadastrado</v>
      </c>
      <c r="K4" s="18" t="str">
        <f>IFERROR(_xlfn.XLOOKUP(Pedidos[[#This Row],[ID_Fornecedor]],Fornecedores[ID_Fornecedor],Fornecedores[Homologado]), "Fornecedor não cadastrado")</f>
        <v>Fornecedor não cadastrado</v>
      </c>
      <c r="L4" s="19">
        <f>IFERROR(Pedidos[[#This Row],[Valor_Pedido]]/Pedidos[[#This Row],[Quantidade]],  "Revisar Quantidade")</f>
        <v>680</v>
      </c>
      <c r="M4" s="18" t="str" cm="1">
        <f t="array" ref="M4">_xlfn.IFS(AND(Pedidos[[#This Row],[Valor_Pedido]]&lt;=5000,Pedidos[[#This Row],[Homologado]]="Sim"),"Aprovação Automática", OR(Pedidos[[#This Row],[Valor_Pedido]]&lt;=20000,Pedidos[[#This Row],[Urgente]]="Sim"), "Aprovação Gerência", TRUE, "Aprovação Diretoria")</f>
        <v>Aprovação Gerência</v>
      </c>
      <c r="N4" s="20" t="str" cm="1">
        <f t="array" ref="N4">_xlfn.IFS(Pedidos[[#This Row],[Dias_Atraso]]&lt;=0, "Em Dia", Pedidos[[#This Row],[Dias_Atraso]]&lt;=3, "Atenção", Pedidos[[#This Row],[Dias_Atraso]]&lt;=7, "Crítico", Pedidos[[#This Row],[Dias_Atraso]]&gt;7, "Emergencial")</f>
        <v>Emergencial</v>
      </c>
    </row>
    <row r="5" spans="1:14" x14ac:dyDescent="0.15">
      <c r="A5" s="14" t="s">
        <v>27</v>
      </c>
      <c r="B5" s="15" t="s">
        <v>28</v>
      </c>
      <c r="C5" s="15" t="s">
        <v>21</v>
      </c>
      <c r="D5" s="16">
        <v>6700</v>
      </c>
      <c r="E5" s="15">
        <v>0</v>
      </c>
      <c r="F5" s="15" t="s">
        <v>17</v>
      </c>
      <c r="G5" s="17">
        <v>46205</v>
      </c>
      <c r="H5" s="15">
        <v>2</v>
      </c>
      <c r="I5" s="15" t="s">
        <v>22</v>
      </c>
      <c r="J5" s="18" t="str">
        <f>IFERROR(_xlfn.XLOOKUP(Pedidos[[#This Row],[ID_Fornecedor]],Fornecedores[ID_Fornecedor],Fornecedores[Nome_Fornecedor]), "Fornecedor não cadastrado")</f>
        <v>Ferramentas Tec</v>
      </c>
      <c r="K5" s="18" t="str">
        <f>IFERROR(_xlfn.XLOOKUP(Pedidos[[#This Row],[ID_Fornecedor]],Fornecedores[ID_Fornecedor],Fornecedores[Homologado]), "Fornecedor não cadastrado")</f>
        <v>Não</v>
      </c>
      <c r="L5" s="19" t="str">
        <f>IFERROR(Pedidos[[#This Row],[Valor_Pedido]]/Pedidos[[#This Row],[Quantidade]],  "Revisar Quantidade")</f>
        <v>Revisar Quantidade</v>
      </c>
      <c r="M5" s="18" t="str" cm="1">
        <f t="array" ref="M5">_xlfn.IFS(AND(Pedidos[[#This Row],[Valor_Pedido]]&lt;=5000,Pedidos[[#This Row],[Homologado]]="Sim"),"Aprovação Automática", OR(Pedidos[[#This Row],[Valor_Pedido]]&lt;=20000,Pedidos[[#This Row],[Urgente]]="Sim"), "Aprovação Gerência", TRUE, "Aprovação Diretoria")</f>
        <v>Aprovação Gerência</v>
      </c>
      <c r="N5" s="20" t="str" cm="1">
        <f t="array" ref="N5">_xlfn.IFS(Pedidos[[#This Row],[Dias_Atraso]]&lt;=0, "Em Dia", Pedidos[[#This Row],[Dias_Atraso]]&lt;=3, "Atenção", Pedidos[[#This Row],[Dias_Atraso]]&lt;=7, "Crítico", Pedidos[[#This Row],[Dias_Atraso]]&gt;7, "Emergencial")</f>
        <v>Atenção</v>
      </c>
    </row>
    <row r="6" spans="1:14" x14ac:dyDescent="0.15">
      <c r="A6" s="14" t="s">
        <v>29</v>
      </c>
      <c r="B6" s="15" t="s">
        <v>30</v>
      </c>
      <c r="C6" s="15" t="s">
        <v>16</v>
      </c>
      <c r="D6" s="16">
        <v>42000</v>
      </c>
      <c r="E6" s="15">
        <v>3</v>
      </c>
      <c r="F6" s="15" t="s">
        <v>17</v>
      </c>
      <c r="G6" s="17">
        <v>46217</v>
      </c>
      <c r="H6" s="15">
        <v>12</v>
      </c>
      <c r="I6" s="15" t="s">
        <v>31</v>
      </c>
      <c r="J6" s="18" t="str">
        <f>IFERROR(_xlfn.XLOOKUP(Pedidos[[#This Row],[ID_Fornecedor]],Fornecedores[ID_Fornecedor],Fornecedores[Nome_Fornecedor]), "Fornecedor não cadastrado")</f>
        <v>Elétrica Nuclear Ltda</v>
      </c>
      <c r="K6" s="18" t="str">
        <f>IFERROR(_xlfn.XLOOKUP(Pedidos[[#This Row],[ID_Fornecedor]],Fornecedores[ID_Fornecedor],Fornecedores[Homologado]), "Fornecedor não cadastrado")</f>
        <v>Sim</v>
      </c>
      <c r="L6" s="19">
        <f>IFERROR(Pedidos[[#This Row],[Valor_Pedido]]/Pedidos[[#This Row],[Quantidade]],  "Revisar Quantidade")</f>
        <v>14000</v>
      </c>
      <c r="M6" s="18" t="str" cm="1">
        <f t="array" ref="M6">_xlfn.IFS(AND(Pedidos[[#This Row],[Valor_Pedido]]&lt;=5000,Pedidos[[#This Row],[Homologado]]="Sim"),"Aprovação Automática", OR(Pedidos[[#This Row],[Valor_Pedido]]&lt;=20000,Pedidos[[#This Row],[Urgente]]="Sim"), "Aprovação Gerência", TRUE, "Aprovação Diretoria")</f>
        <v>Aprovação Diretoria</v>
      </c>
      <c r="N6" s="20" t="str" cm="1">
        <f t="array" ref="N6">_xlfn.IFS(Pedidos[[#This Row],[Dias_Atraso]]&lt;=0, "Em Dia", Pedidos[[#This Row],[Dias_Atraso]]&lt;=3, "Atenção", Pedidos[[#This Row],[Dias_Atraso]]&lt;=7, "Crítico", Pedidos[[#This Row],[Dias_Atraso]]&gt;7, "Emergencial")</f>
        <v>Emergencial</v>
      </c>
    </row>
    <row r="7" spans="1:14" x14ac:dyDescent="0.15">
      <c r="A7" s="14" t="s">
        <v>32</v>
      </c>
      <c r="B7" s="15" t="s">
        <v>33</v>
      </c>
      <c r="C7" s="15" t="s">
        <v>34</v>
      </c>
      <c r="D7" s="16">
        <v>1200</v>
      </c>
      <c r="E7" s="15">
        <v>100</v>
      </c>
      <c r="F7" s="15" t="s">
        <v>26</v>
      </c>
      <c r="G7" s="17">
        <v>46209</v>
      </c>
      <c r="H7" s="15">
        <v>1</v>
      </c>
      <c r="I7" s="15" t="s">
        <v>18</v>
      </c>
      <c r="J7" s="18" t="str">
        <f>IFERROR(_xlfn.XLOOKUP(Pedidos[[#This Row],[ID_Fornecedor]],Fornecedores[ID_Fornecedor],Fornecedores[Nome_Fornecedor]), "Fornecedor não cadastrado")</f>
        <v>EPI Segurança SA</v>
      </c>
      <c r="K7" s="18" t="str">
        <f>IFERROR(_xlfn.XLOOKUP(Pedidos[[#This Row],[ID_Fornecedor]],Fornecedores[ID_Fornecedor],Fornecedores[Homologado]), "Fornecedor não cadastrado")</f>
        <v>Sim</v>
      </c>
      <c r="L7" s="19">
        <f>IFERROR(Pedidos[[#This Row],[Valor_Pedido]]/Pedidos[[#This Row],[Quantidade]],  "Revisar Quantidade")</f>
        <v>12</v>
      </c>
      <c r="M7" s="18" t="str" cm="1">
        <f t="array" ref="M7">_xlfn.IFS(AND(Pedidos[[#This Row],[Valor_Pedido]]&lt;=5000,Pedidos[[#This Row],[Homologado]]="Sim"),"Aprovação Automática", OR(Pedidos[[#This Row],[Valor_Pedido]]&lt;=20000,Pedidos[[#This Row],[Urgente]]="Sim"), "Aprovação Gerência", TRUE, "Aprovação Diretoria")</f>
        <v>Aprovação Automática</v>
      </c>
      <c r="N7" s="20" t="str" cm="1">
        <f t="array" ref="N7">_xlfn.IFS(Pedidos[[#This Row],[Dias_Atraso]]&lt;=0, "Em Dia", Pedidos[[#This Row],[Dias_Atraso]]&lt;=3, "Atenção", Pedidos[[#This Row],[Dias_Atraso]]&lt;=7, "Crítico", Pedidos[[#This Row],[Dias_Atraso]]&gt;7, "Emergencial")</f>
        <v>Atenção</v>
      </c>
    </row>
    <row r="8" spans="1:14" x14ac:dyDescent="0.15">
      <c r="A8" s="14" t="s">
        <v>35</v>
      </c>
      <c r="B8" s="15" t="s">
        <v>36</v>
      </c>
      <c r="C8" s="15" t="s">
        <v>25</v>
      </c>
      <c r="D8" s="16">
        <v>27500</v>
      </c>
      <c r="E8" s="15">
        <v>4</v>
      </c>
      <c r="F8" s="15" t="s">
        <v>26</v>
      </c>
      <c r="G8" s="17">
        <v>46223</v>
      </c>
      <c r="H8" s="15">
        <v>8</v>
      </c>
      <c r="I8" s="15" t="s">
        <v>22</v>
      </c>
      <c r="J8" s="18" t="str">
        <f>IFERROR(_xlfn.XLOOKUP(Pedidos[[#This Row],[ID_Fornecedor]],Fornecedores[ID_Fornecedor],Fornecedores[Nome_Fornecedor]), "Fornecedor não cadastrado")</f>
        <v>Fornecedor não cadastrado</v>
      </c>
      <c r="K8" s="18" t="str">
        <f>IFERROR(_xlfn.XLOOKUP(Pedidos[[#This Row],[ID_Fornecedor]],Fornecedores[ID_Fornecedor],Fornecedores[Homologado]), "Fornecedor não cadastrado")</f>
        <v>Fornecedor não cadastrado</v>
      </c>
      <c r="L8" s="19">
        <f>IFERROR(Pedidos[[#This Row],[Valor_Pedido]]/Pedidos[[#This Row],[Quantidade]],  "Revisar Quantidade")</f>
        <v>6875</v>
      </c>
      <c r="M8" s="18" t="str" cm="1">
        <f t="array" ref="M8">_xlfn.IFS(AND(Pedidos[[#This Row],[Valor_Pedido]]&lt;=5000,Pedidos[[#This Row],[Homologado]]="Sim"),"Aprovação Automática", OR(Pedidos[[#This Row],[Valor_Pedido]]&lt;=20000,Pedidos[[#This Row],[Urgente]]="Sim"), "Aprovação Gerência", TRUE, "Aprovação Diretoria")</f>
        <v>Aprovação Gerência</v>
      </c>
      <c r="N8" s="20" t="str" cm="1">
        <f t="array" ref="N8">_xlfn.IFS(Pedidos[[#This Row],[Dias_Atraso]]&lt;=0, "Em Dia", Pedidos[[#This Row],[Dias_Atraso]]&lt;=3, "Atenção", Pedidos[[#This Row],[Dias_Atraso]]&lt;=7, "Crítico", Pedidos[[#This Row],[Dias_Atraso]]&gt;7, "Emergencial")</f>
        <v>Emergencial</v>
      </c>
    </row>
    <row r="9" spans="1:14" x14ac:dyDescent="0.15">
      <c r="A9" s="14" t="s">
        <v>37</v>
      </c>
      <c r="B9" s="15" t="s">
        <v>38</v>
      </c>
      <c r="C9" s="15" t="s">
        <v>21</v>
      </c>
      <c r="D9" s="16">
        <v>9500</v>
      </c>
      <c r="E9" s="15">
        <v>12</v>
      </c>
      <c r="F9" s="15" t="s">
        <v>26</v>
      </c>
      <c r="G9" s="17">
        <v>46212</v>
      </c>
      <c r="H9" s="15">
        <v>3</v>
      </c>
      <c r="I9" s="15" t="s">
        <v>22</v>
      </c>
      <c r="J9" s="18" t="str">
        <f>IFERROR(_xlfn.XLOOKUP(Pedidos[[#This Row],[ID_Fornecedor]],Fornecedores[ID_Fornecedor],Fornecedores[Nome_Fornecedor]), "Fornecedor não cadastrado")</f>
        <v>Válvulas &amp; Cia</v>
      </c>
      <c r="K9" s="18" t="str">
        <f>IFERROR(_xlfn.XLOOKUP(Pedidos[[#This Row],[ID_Fornecedor]],Fornecedores[ID_Fornecedor],Fornecedores[Homologado]), "Fornecedor não cadastrado")</f>
        <v>Sim</v>
      </c>
      <c r="L9" s="19">
        <f>IFERROR(Pedidos[[#This Row],[Valor_Pedido]]/Pedidos[[#This Row],[Quantidade]],  "Revisar Quantidade")</f>
        <v>791.66666666666663</v>
      </c>
      <c r="M9" s="18" t="str" cm="1">
        <f t="array" ref="M9">_xlfn.IFS(AND(Pedidos[[#This Row],[Valor_Pedido]]&lt;=5000,Pedidos[[#This Row],[Homologado]]="Sim"),"Aprovação Automática", OR(Pedidos[[#This Row],[Valor_Pedido]]&lt;=20000,Pedidos[[#This Row],[Urgente]]="Sim"), "Aprovação Gerência", TRUE, "Aprovação Diretoria")</f>
        <v>Aprovação Gerência</v>
      </c>
      <c r="N9" s="20" t="str" cm="1">
        <f t="array" ref="N9">_xlfn.IFS(Pedidos[[#This Row],[Dias_Atraso]]&lt;=0, "Em Dia", Pedidos[[#This Row],[Dias_Atraso]]&lt;=3, "Atenção", Pedidos[[#This Row],[Dias_Atraso]]&lt;=7, "Crítico", Pedidos[[#This Row],[Dias_Atraso]]&gt;7, "Emergencial")</f>
        <v>Atenção</v>
      </c>
    </row>
    <row r="10" spans="1:14" x14ac:dyDescent="0.15">
      <c r="A10" s="14" t="s">
        <v>39</v>
      </c>
      <c r="B10" s="15" t="s">
        <v>40</v>
      </c>
      <c r="C10" s="15" t="s">
        <v>16</v>
      </c>
      <c r="D10" s="16">
        <v>2900</v>
      </c>
      <c r="E10" s="15">
        <v>30</v>
      </c>
      <c r="F10" s="15" t="s">
        <v>17</v>
      </c>
      <c r="G10" s="17">
        <v>46204</v>
      </c>
      <c r="H10" s="15">
        <v>0</v>
      </c>
      <c r="I10" s="15" t="s">
        <v>18</v>
      </c>
      <c r="J10" s="18" t="str">
        <f>IFERROR(_xlfn.XLOOKUP(Pedidos[[#This Row],[ID_Fornecedor]],Fornecedores[ID_Fornecedor],Fornecedores[Nome_Fornecedor]), "Fornecedor não cadastrado")</f>
        <v>Rolamentos Industrial</v>
      </c>
      <c r="K10" s="18" t="str">
        <f>IFERROR(_xlfn.XLOOKUP(Pedidos[[#This Row],[ID_Fornecedor]],Fornecedores[ID_Fornecedor],Fornecedores[Homologado]), "Fornecedor não cadastrado")</f>
        <v>Sim</v>
      </c>
      <c r="L10" s="19">
        <f>IFERROR(Pedidos[[#This Row],[Valor_Pedido]]/Pedidos[[#This Row],[Quantidade]],  "Revisar Quantidade")</f>
        <v>96.666666666666671</v>
      </c>
      <c r="M10" s="18" t="str" cm="1">
        <f t="array" ref="M10">_xlfn.IFS(AND(Pedidos[[#This Row],[Valor_Pedido]]&lt;=5000,Pedidos[[#This Row],[Homologado]]="Sim"),"Aprovação Automática", OR(Pedidos[[#This Row],[Valor_Pedido]]&lt;=20000,Pedidos[[#This Row],[Urgente]]="Sim"), "Aprovação Gerência", TRUE, "Aprovação Diretoria")</f>
        <v>Aprovação Automática</v>
      </c>
      <c r="N10" s="20" t="str" cm="1">
        <f t="array" ref="N10">_xlfn.IFS(Pedidos[[#This Row],[Dias_Atraso]]&lt;=0, "Em Dia", Pedidos[[#This Row],[Dias_Atraso]]&lt;=3, "Atenção", Pedidos[[#This Row],[Dias_Atraso]]&lt;=7, "Crítico", Pedidos[[#This Row],[Dias_Atraso]]&gt;7, "Emergencial")</f>
        <v>Em Dia</v>
      </c>
    </row>
    <row r="11" spans="1:14" x14ac:dyDescent="0.15">
      <c r="A11" s="14" t="s">
        <v>41</v>
      </c>
      <c r="B11" s="15" t="s">
        <v>15</v>
      </c>
      <c r="C11" s="15" t="s">
        <v>21</v>
      </c>
      <c r="D11" s="16">
        <v>35000</v>
      </c>
      <c r="E11" s="15">
        <v>0</v>
      </c>
      <c r="F11" s="15" t="s">
        <v>17</v>
      </c>
      <c r="G11" s="17">
        <v>46225</v>
      </c>
      <c r="H11" s="15">
        <v>15</v>
      </c>
      <c r="I11" s="15" t="s">
        <v>22</v>
      </c>
      <c r="J11" s="18" t="str">
        <f>IFERROR(_xlfn.XLOOKUP(Pedidos[[#This Row],[ID_Fornecedor]],Fornecedores[ID_Fornecedor],Fornecedores[Nome_Fornecedor]), "Fornecedor não cadastrado")</f>
        <v>Aços do Brasil</v>
      </c>
      <c r="K11" s="18" t="str">
        <f>IFERROR(_xlfn.XLOOKUP(Pedidos[[#This Row],[ID_Fornecedor]],Fornecedores[ID_Fornecedor],Fornecedores[Homologado]), "Fornecedor não cadastrado")</f>
        <v>Sim</v>
      </c>
      <c r="L11" s="19" t="str">
        <f>IFERROR(Pedidos[[#This Row],[Valor_Pedido]]/Pedidos[[#This Row],[Quantidade]],  "Revisar Quantidade")</f>
        <v>Revisar Quantidade</v>
      </c>
      <c r="M11" s="18" t="str" cm="1">
        <f t="array" ref="M11">_xlfn.IFS(AND(Pedidos[[#This Row],[Valor_Pedido]]&lt;=5000,Pedidos[[#This Row],[Homologado]]="Sim"),"Aprovação Automática", OR(Pedidos[[#This Row],[Valor_Pedido]]&lt;=20000,Pedidos[[#This Row],[Urgente]]="Sim"), "Aprovação Gerência", TRUE, "Aprovação Diretoria")</f>
        <v>Aprovação Diretoria</v>
      </c>
      <c r="N11" s="20" t="str" cm="1">
        <f t="array" ref="N11">_xlfn.IFS(Pedidos[[#This Row],[Dias_Atraso]]&lt;=0, "Em Dia", Pedidos[[#This Row],[Dias_Atraso]]&lt;=3, "Atenção", Pedidos[[#This Row],[Dias_Atraso]]&lt;=7, "Crítico", Pedidos[[#This Row],[Dias_Atraso]]&gt;7, "Emergencial")</f>
        <v>Emergencial</v>
      </c>
    </row>
    <row r="12" spans="1:14" x14ac:dyDescent="0.15">
      <c r="A12" s="14" t="s">
        <v>42</v>
      </c>
      <c r="B12" s="15" t="s">
        <v>43</v>
      </c>
      <c r="C12" s="15" t="s">
        <v>44</v>
      </c>
      <c r="D12" s="16">
        <v>800</v>
      </c>
      <c r="E12" s="15">
        <v>10</v>
      </c>
      <c r="F12" s="15" t="s">
        <v>17</v>
      </c>
      <c r="G12" s="17">
        <v>46207</v>
      </c>
      <c r="H12" s="15">
        <v>-2</v>
      </c>
      <c r="I12" s="15" t="s">
        <v>18</v>
      </c>
      <c r="J12" s="18" t="str">
        <f>IFERROR(_xlfn.XLOOKUP(Pedidos[[#This Row],[ID_Fornecedor]],Fornecedores[ID_Fornecedor],Fornecedores[Nome_Fornecedor]), "Fornecedor não cadastrado")</f>
        <v>Tintas Anticorrosivas SA</v>
      </c>
      <c r="K12" s="18" t="str">
        <f>IFERROR(_xlfn.XLOOKUP(Pedidos[[#This Row],[ID_Fornecedor]],Fornecedores[ID_Fornecedor],Fornecedores[Homologado]), "Fornecedor não cadastrado")</f>
        <v>Não</v>
      </c>
      <c r="L12" s="19">
        <f>IFERROR(Pedidos[[#This Row],[Valor_Pedido]]/Pedidos[[#This Row],[Quantidade]],  "Revisar Quantidade")</f>
        <v>80</v>
      </c>
      <c r="M12" s="18" t="str" cm="1">
        <f t="array" ref="M12">_xlfn.IFS(AND(Pedidos[[#This Row],[Valor_Pedido]]&lt;=5000,Pedidos[[#This Row],[Homologado]]="Sim"),"Aprovação Automática", OR(Pedidos[[#This Row],[Valor_Pedido]]&lt;=20000,Pedidos[[#This Row],[Urgente]]="Sim"), "Aprovação Gerência", TRUE, "Aprovação Diretoria")</f>
        <v>Aprovação Gerência</v>
      </c>
      <c r="N12" s="20" t="str" cm="1">
        <f t="array" ref="N12">_xlfn.IFS(Pedidos[[#This Row],[Dias_Atraso]]&lt;=0, "Em Dia", Pedidos[[#This Row],[Dias_Atraso]]&lt;=3, "Atenção", Pedidos[[#This Row],[Dias_Atraso]]&lt;=7, "Crítico", Pedidos[[#This Row],[Dias_Atraso]]&gt;7, "Emergencial")</f>
        <v>Em Dia</v>
      </c>
    </row>
    <row r="13" spans="1:14" x14ac:dyDescent="0.15">
      <c r="A13" s="14" t="s">
        <v>45</v>
      </c>
      <c r="B13" s="15" t="s">
        <v>46</v>
      </c>
      <c r="C13" s="15" t="s">
        <v>16</v>
      </c>
      <c r="D13" s="16">
        <v>19800</v>
      </c>
      <c r="E13" s="15">
        <v>8</v>
      </c>
      <c r="F13" s="15" t="s">
        <v>17</v>
      </c>
      <c r="G13" s="17">
        <v>46214</v>
      </c>
      <c r="H13" s="15">
        <v>4</v>
      </c>
      <c r="I13" s="15" t="s">
        <v>31</v>
      </c>
      <c r="J13" s="18" t="str">
        <f>IFERROR(_xlfn.XLOOKUP(Pedidos[[#This Row],[ID_Fornecedor]],Fornecedores[ID_Fornecedor],Fornecedores[Nome_Fornecedor]), "Fornecedor não cadastrado")</f>
        <v>Metalúrgica Sul</v>
      </c>
      <c r="K13" s="18" t="str">
        <f>IFERROR(_xlfn.XLOOKUP(Pedidos[[#This Row],[ID_Fornecedor]],Fornecedores[ID_Fornecedor],Fornecedores[Homologado]), "Fornecedor não cadastrado")</f>
        <v>Não</v>
      </c>
      <c r="L13" s="19">
        <f>IFERROR(Pedidos[[#This Row],[Valor_Pedido]]/Pedidos[[#This Row],[Quantidade]],  "Revisar Quantidade")</f>
        <v>2475</v>
      </c>
      <c r="M13" s="18" t="str" cm="1">
        <f t="array" ref="M13">_xlfn.IFS(AND(Pedidos[[#This Row],[Valor_Pedido]]&lt;=5000,Pedidos[[#This Row],[Homologado]]="Sim"),"Aprovação Automática", OR(Pedidos[[#This Row],[Valor_Pedido]]&lt;=20000,Pedidos[[#This Row],[Urgente]]="Sim"), "Aprovação Gerência", TRUE, "Aprovação Diretoria")</f>
        <v>Aprovação Gerência</v>
      </c>
      <c r="N13" s="20" t="str" cm="1">
        <f t="array" ref="N13">_xlfn.IFS(Pedidos[[#This Row],[Dias_Atraso]]&lt;=0, "Em Dia", Pedidos[[#This Row],[Dias_Atraso]]&lt;=3, "Atenção", Pedidos[[#This Row],[Dias_Atraso]]&lt;=7, "Crítico", Pedidos[[#This Row],[Dias_Atraso]]&gt;7, "Emergencial")</f>
        <v>Crítico</v>
      </c>
    </row>
    <row r="14" spans="1:14" x14ac:dyDescent="0.15">
      <c r="A14" s="14" t="s">
        <v>47</v>
      </c>
      <c r="B14" s="15" t="s">
        <v>48</v>
      </c>
      <c r="C14" s="15" t="s">
        <v>21</v>
      </c>
      <c r="D14" s="16">
        <v>5000</v>
      </c>
      <c r="E14" s="15">
        <v>15</v>
      </c>
      <c r="F14" s="15" t="s">
        <v>26</v>
      </c>
      <c r="G14" s="17">
        <v>46228</v>
      </c>
      <c r="H14" s="15">
        <v>7</v>
      </c>
      <c r="I14" s="15" t="s">
        <v>22</v>
      </c>
      <c r="J14" s="18" t="str">
        <f>IFERROR(_xlfn.XLOOKUP(Pedidos[[#This Row],[ID_Fornecedor]],Fornecedores[ID_Fornecedor],Fornecedores[Nome_Fornecedor]), "Fornecedor não cadastrado")</f>
        <v>Fornecedor não cadastrado</v>
      </c>
      <c r="K14" s="18" t="str">
        <f>IFERROR(_xlfn.XLOOKUP(Pedidos[[#This Row],[ID_Fornecedor]],Fornecedores[ID_Fornecedor],Fornecedores[Homologado]), "Fornecedor não cadastrado")</f>
        <v>Fornecedor não cadastrado</v>
      </c>
      <c r="L14" s="19">
        <f>IFERROR(Pedidos[[#This Row],[Valor_Pedido]]/Pedidos[[#This Row],[Quantidade]],  "Revisar Quantidade")</f>
        <v>333.33333333333331</v>
      </c>
      <c r="M14" s="18" t="str" cm="1">
        <f t="array" ref="M14">_xlfn.IFS(AND(Pedidos[[#This Row],[Valor_Pedido]]&lt;=5000,Pedidos[[#This Row],[Homologado]]="Sim"),"Aprovação Automática", OR(Pedidos[[#This Row],[Valor_Pedido]]&lt;=20000,Pedidos[[#This Row],[Urgente]]="Sim"), "Aprovação Gerência", TRUE, "Aprovação Diretoria")</f>
        <v>Aprovação Gerência</v>
      </c>
      <c r="N14" s="20" t="str" cm="1">
        <f t="array" ref="N14">_xlfn.IFS(Pedidos[[#This Row],[Dias_Atraso]]&lt;=0, "Em Dia", Pedidos[[#This Row],[Dias_Atraso]]&lt;=3, "Atenção", Pedidos[[#This Row],[Dias_Atraso]]&lt;=7, "Crítico", Pedidos[[#This Row],[Dias_Atraso]]&gt;7, "Emergencial")</f>
        <v>Crítico</v>
      </c>
    </row>
    <row r="15" spans="1:14" x14ac:dyDescent="0.15">
      <c r="A15" s="14" t="s">
        <v>49</v>
      </c>
      <c r="B15" s="15" t="s">
        <v>50</v>
      </c>
      <c r="C15" s="15" t="s">
        <v>25</v>
      </c>
      <c r="D15" s="16">
        <v>15200</v>
      </c>
      <c r="E15" s="15">
        <v>6</v>
      </c>
      <c r="F15" s="15" t="s">
        <v>17</v>
      </c>
      <c r="G15" s="17">
        <v>46216</v>
      </c>
      <c r="H15" s="15">
        <v>3</v>
      </c>
      <c r="I15" s="15" t="s">
        <v>18</v>
      </c>
      <c r="J15" s="18" t="str">
        <f>IFERROR(_xlfn.XLOOKUP(Pedidos[[#This Row],[ID_Fornecedor]],Fornecedores[ID_Fornecedor],Fornecedores[Nome_Fornecedor]), "Fornecedor não cadastrado")</f>
        <v>Isolamento Térmico Nacional</v>
      </c>
      <c r="K15" s="18" t="str">
        <f>IFERROR(_xlfn.XLOOKUP(Pedidos[[#This Row],[ID_Fornecedor]],Fornecedores[ID_Fornecedor],Fornecedores[Homologado]), "Fornecedor não cadastrado")</f>
        <v>Sim</v>
      </c>
      <c r="L15" s="19">
        <f>IFERROR(Pedidos[[#This Row],[Valor_Pedido]]/Pedidos[[#This Row],[Quantidade]],  "Revisar Quantidade")</f>
        <v>2533.3333333333335</v>
      </c>
      <c r="M15" s="18" t="str" cm="1">
        <f t="array" ref="M15">_xlfn.IFS(AND(Pedidos[[#This Row],[Valor_Pedido]]&lt;=5000,Pedidos[[#This Row],[Homologado]]="Sim"),"Aprovação Automática", OR(Pedidos[[#This Row],[Valor_Pedido]]&lt;=20000,Pedidos[[#This Row],[Urgente]]="Sim"), "Aprovação Gerência", TRUE, "Aprovação Diretoria")</f>
        <v>Aprovação Gerência</v>
      </c>
      <c r="N15" s="20" t="str" cm="1">
        <f t="array" ref="N15">_xlfn.IFS(Pedidos[[#This Row],[Dias_Atraso]]&lt;=0, "Em Dia", Pedidos[[#This Row],[Dias_Atraso]]&lt;=3, "Atenção", Pedidos[[#This Row],[Dias_Atraso]]&lt;=7, "Crítico", Pedidos[[#This Row],[Dias_Atraso]]&gt;7, "Emergencial")</f>
        <v>Atenção</v>
      </c>
    </row>
    <row r="16" spans="1:14" x14ac:dyDescent="0.15">
      <c r="A16" s="14" t="s">
        <v>51</v>
      </c>
      <c r="B16" s="15" t="s">
        <v>20</v>
      </c>
      <c r="C16" s="15" t="s">
        <v>34</v>
      </c>
      <c r="D16" s="16">
        <v>4300</v>
      </c>
      <c r="E16" s="15">
        <v>80</v>
      </c>
      <c r="F16" s="15" t="s">
        <v>26</v>
      </c>
      <c r="G16" s="17">
        <v>46210</v>
      </c>
      <c r="H16" s="15">
        <v>1</v>
      </c>
      <c r="I16" s="15" t="s">
        <v>22</v>
      </c>
      <c r="J16" s="18" t="str">
        <f>IFERROR(_xlfn.XLOOKUP(Pedidos[[#This Row],[ID_Fornecedor]],Fornecedores[ID_Fornecedor],Fornecedores[Nome_Fornecedor]), "Fornecedor não cadastrado")</f>
        <v>Solda Forte Ltda</v>
      </c>
      <c r="K16" s="18" t="str">
        <f>IFERROR(_xlfn.XLOOKUP(Pedidos[[#This Row],[ID_Fornecedor]],Fornecedores[ID_Fornecedor],Fornecedores[Homologado]), "Fornecedor não cadastrado")</f>
        <v>Sim</v>
      </c>
      <c r="L16" s="19">
        <f>IFERROR(Pedidos[[#This Row],[Valor_Pedido]]/Pedidos[[#This Row],[Quantidade]],  "Revisar Quantidade")</f>
        <v>53.75</v>
      </c>
      <c r="M16" s="18" t="str" cm="1">
        <f t="array" ref="M16">_xlfn.IFS(AND(Pedidos[[#This Row],[Valor_Pedido]]&lt;=5000,Pedidos[[#This Row],[Homologado]]="Sim"),"Aprovação Automática", OR(Pedidos[[#This Row],[Valor_Pedido]]&lt;=20000,Pedidos[[#This Row],[Urgente]]="Sim"), "Aprovação Gerência", TRUE, "Aprovação Diretoria")</f>
        <v>Aprovação Automática</v>
      </c>
      <c r="N16" s="20" t="str" cm="1">
        <f t="array" ref="N16">_xlfn.IFS(Pedidos[[#This Row],[Dias_Atraso]]&lt;=0, "Em Dia", Pedidos[[#This Row],[Dias_Atraso]]&lt;=3, "Atenção", Pedidos[[#This Row],[Dias_Atraso]]&lt;=7, "Crítico", Pedidos[[#This Row],[Dias_Atraso]]&gt;7, "Emergencial")</f>
        <v>Atenção</v>
      </c>
    </row>
    <row r="17" spans="1:14" x14ac:dyDescent="0.15">
      <c r="A17" s="14" t="s">
        <v>52</v>
      </c>
      <c r="B17" s="15" t="s">
        <v>30</v>
      </c>
      <c r="C17" s="15" t="s">
        <v>16</v>
      </c>
      <c r="D17" s="16">
        <v>3100</v>
      </c>
      <c r="E17" s="15">
        <v>0</v>
      </c>
      <c r="F17" s="15" t="s">
        <v>17</v>
      </c>
      <c r="G17" s="17">
        <v>46213</v>
      </c>
      <c r="H17" s="15">
        <v>6</v>
      </c>
      <c r="I17" s="15" t="s">
        <v>22</v>
      </c>
      <c r="J17" s="18" t="str">
        <f>IFERROR(_xlfn.XLOOKUP(Pedidos[[#This Row],[ID_Fornecedor]],Fornecedores[ID_Fornecedor],Fornecedores[Nome_Fornecedor]), "Fornecedor não cadastrado")</f>
        <v>Elétrica Nuclear Ltda</v>
      </c>
      <c r="K17" s="18" t="str">
        <f>IFERROR(_xlfn.XLOOKUP(Pedidos[[#This Row],[ID_Fornecedor]],Fornecedores[ID_Fornecedor],Fornecedores[Homologado]), "Fornecedor não cadastrado")</f>
        <v>Sim</v>
      </c>
      <c r="L17" s="19" t="str">
        <f>IFERROR(Pedidos[[#This Row],[Valor_Pedido]]/Pedidos[[#This Row],[Quantidade]],  "Revisar Quantidade")</f>
        <v>Revisar Quantidade</v>
      </c>
      <c r="M17" s="18" t="str" cm="1">
        <f t="array" ref="M17">_xlfn.IFS(AND(Pedidos[[#This Row],[Valor_Pedido]]&lt;=5000,Pedidos[[#This Row],[Homologado]]="Sim"),"Aprovação Automática", OR(Pedidos[[#This Row],[Valor_Pedido]]&lt;=20000,Pedidos[[#This Row],[Urgente]]="Sim"), "Aprovação Gerência", TRUE, "Aprovação Diretoria")</f>
        <v>Aprovação Automática</v>
      </c>
      <c r="N17" s="20" t="str" cm="1">
        <f t="array" ref="N17">_xlfn.IFS(Pedidos[[#This Row],[Dias_Atraso]]&lt;=0, "Em Dia", Pedidos[[#This Row],[Dias_Atraso]]&lt;=3, "Atenção", Pedidos[[#This Row],[Dias_Atraso]]&lt;=7, "Crítico", Pedidos[[#This Row],[Dias_Atraso]]&gt;7, "Emergencial")</f>
        <v>Crítico</v>
      </c>
    </row>
    <row r="18" spans="1:14" x14ac:dyDescent="0.15">
      <c r="A18" s="14" t="s">
        <v>53</v>
      </c>
      <c r="B18" s="15" t="s">
        <v>24</v>
      </c>
      <c r="C18" s="15" t="s">
        <v>21</v>
      </c>
      <c r="D18" s="16">
        <v>22000</v>
      </c>
      <c r="E18" s="15">
        <v>7</v>
      </c>
      <c r="F18" s="15" t="s">
        <v>26</v>
      </c>
      <c r="G18" s="17">
        <v>46231</v>
      </c>
      <c r="H18" s="15">
        <v>10</v>
      </c>
      <c r="I18" s="15" t="s">
        <v>22</v>
      </c>
      <c r="J18" s="18" t="str">
        <f>IFERROR(_xlfn.XLOOKUP(Pedidos[[#This Row],[ID_Fornecedor]],Fornecedores[ID_Fornecedor],Fornecedores[Nome_Fornecedor]), "Fornecedor não cadastrado")</f>
        <v>Fornecedor não cadastrado</v>
      </c>
      <c r="K18" s="18" t="str">
        <f>IFERROR(_xlfn.XLOOKUP(Pedidos[[#This Row],[ID_Fornecedor]],Fornecedores[ID_Fornecedor],Fornecedores[Homologado]), "Fornecedor não cadastrado")</f>
        <v>Fornecedor não cadastrado</v>
      </c>
      <c r="L18" s="19">
        <f>IFERROR(Pedidos[[#This Row],[Valor_Pedido]]/Pedidos[[#This Row],[Quantidade]],  "Revisar Quantidade")</f>
        <v>3142.8571428571427</v>
      </c>
      <c r="M18" s="18" t="str" cm="1">
        <f t="array" ref="M18">_xlfn.IFS(AND(Pedidos[[#This Row],[Valor_Pedido]]&lt;=5000,Pedidos[[#This Row],[Homologado]]="Sim"),"Aprovação Automática", OR(Pedidos[[#This Row],[Valor_Pedido]]&lt;=20000,Pedidos[[#This Row],[Urgente]]="Sim"), "Aprovação Gerência", TRUE, "Aprovação Diretoria")</f>
        <v>Aprovação Gerência</v>
      </c>
      <c r="N18" s="20" t="str" cm="1">
        <f t="array" ref="N18">_xlfn.IFS(Pedidos[[#This Row],[Dias_Atraso]]&lt;=0, "Em Dia", Pedidos[[#This Row],[Dias_Atraso]]&lt;=3, "Atenção", Pedidos[[#This Row],[Dias_Atraso]]&lt;=7, "Crítico", Pedidos[[#This Row],[Dias_Atraso]]&gt;7, "Emergencial")</f>
        <v>Emergencial</v>
      </c>
    </row>
    <row r="19" spans="1:14" x14ac:dyDescent="0.15">
      <c r="A19" s="14" t="s">
        <v>54</v>
      </c>
      <c r="B19" s="15" t="s">
        <v>28</v>
      </c>
      <c r="C19" s="15" t="s">
        <v>44</v>
      </c>
      <c r="D19" s="16">
        <v>4800</v>
      </c>
      <c r="E19" s="15">
        <v>25</v>
      </c>
      <c r="F19" s="15" t="s">
        <v>17</v>
      </c>
      <c r="G19" s="17">
        <v>46218</v>
      </c>
      <c r="H19" s="15">
        <v>2</v>
      </c>
      <c r="I19" s="15" t="s">
        <v>18</v>
      </c>
      <c r="J19" s="18" t="str">
        <f>IFERROR(_xlfn.XLOOKUP(Pedidos[[#This Row],[ID_Fornecedor]],Fornecedores[ID_Fornecedor],Fornecedores[Nome_Fornecedor]), "Fornecedor não cadastrado")</f>
        <v>Ferramentas Tec</v>
      </c>
      <c r="K19" s="18" t="str">
        <f>IFERROR(_xlfn.XLOOKUP(Pedidos[[#This Row],[ID_Fornecedor]],Fornecedores[ID_Fornecedor],Fornecedores[Homologado]), "Fornecedor não cadastrado")</f>
        <v>Não</v>
      </c>
      <c r="L19" s="19">
        <f>IFERROR(Pedidos[[#This Row],[Valor_Pedido]]/Pedidos[[#This Row],[Quantidade]],  "Revisar Quantidade")</f>
        <v>192</v>
      </c>
      <c r="M19" s="18" t="str" cm="1">
        <f t="array" ref="M19">_xlfn.IFS(AND(Pedidos[[#This Row],[Valor_Pedido]]&lt;=5000,Pedidos[[#This Row],[Homologado]]="Sim"),"Aprovação Automática", OR(Pedidos[[#This Row],[Valor_Pedido]]&lt;=20000,Pedidos[[#This Row],[Urgente]]="Sim"), "Aprovação Gerência", TRUE, "Aprovação Diretoria")</f>
        <v>Aprovação Gerência</v>
      </c>
      <c r="N19" s="20" t="str" cm="1">
        <f t="array" ref="N19">_xlfn.IFS(Pedidos[[#This Row],[Dias_Atraso]]&lt;=0, "Em Dia", Pedidos[[#This Row],[Dias_Atraso]]&lt;=3, "Atenção", Pedidos[[#This Row],[Dias_Atraso]]&lt;=7, "Crítico", Pedidos[[#This Row],[Dias_Atraso]]&gt;7, "Emergencial")</f>
        <v>Atenção</v>
      </c>
    </row>
    <row r="20" spans="1:14" x14ac:dyDescent="0.15">
      <c r="A20" s="14" t="s">
        <v>55</v>
      </c>
      <c r="B20" s="15" t="s">
        <v>38</v>
      </c>
      <c r="C20" s="15" t="s">
        <v>16</v>
      </c>
      <c r="D20" s="16">
        <v>12600</v>
      </c>
      <c r="E20" s="15">
        <v>4</v>
      </c>
      <c r="F20" s="15" t="s">
        <v>26</v>
      </c>
      <c r="G20" s="17">
        <v>46220</v>
      </c>
      <c r="H20" s="15">
        <v>4</v>
      </c>
      <c r="I20" s="15" t="s">
        <v>31</v>
      </c>
      <c r="J20" s="18" t="str">
        <f>IFERROR(_xlfn.XLOOKUP(Pedidos[[#This Row],[ID_Fornecedor]],Fornecedores[ID_Fornecedor],Fornecedores[Nome_Fornecedor]), "Fornecedor não cadastrado")</f>
        <v>Válvulas &amp; Cia</v>
      </c>
      <c r="K20" s="18" t="str">
        <f>IFERROR(_xlfn.XLOOKUP(Pedidos[[#This Row],[ID_Fornecedor]],Fornecedores[ID_Fornecedor],Fornecedores[Homologado]), "Fornecedor não cadastrado")</f>
        <v>Sim</v>
      </c>
      <c r="L20" s="19">
        <f>IFERROR(Pedidos[[#This Row],[Valor_Pedido]]/Pedidos[[#This Row],[Quantidade]],  "Revisar Quantidade")</f>
        <v>3150</v>
      </c>
      <c r="M20" s="18" t="str" cm="1">
        <f t="array" ref="M20">_xlfn.IFS(AND(Pedidos[[#This Row],[Valor_Pedido]]&lt;=5000,Pedidos[[#This Row],[Homologado]]="Sim"),"Aprovação Automática", OR(Pedidos[[#This Row],[Valor_Pedido]]&lt;=20000,Pedidos[[#This Row],[Urgente]]="Sim"), "Aprovação Gerência", TRUE, "Aprovação Diretoria")</f>
        <v>Aprovação Gerência</v>
      </c>
      <c r="N20" s="20" t="str" cm="1">
        <f t="array" ref="N20">_xlfn.IFS(Pedidos[[#This Row],[Dias_Atraso]]&lt;=0, "Em Dia", Pedidos[[#This Row],[Dias_Atraso]]&lt;=3, "Atenção", Pedidos[[#This Row],[Dias_Atraso]]&lt;=7, "Crítico", Pedidos[[#This Row],[Dias_Atraso]]&gt;7, "Emergencial")</f>
        <v>Crítico</v>
      </c>
    </row>
    <row r="21" spans="1:14" x14ac:dyDescent="0.15">
      <c r="A21" s="21" t="s">
        <v>56</v>
      </c>
      <c r="B21" s="22" t="s">
        <v>40</v>
      </c>
      <c r="C21" s="22" t="s">
        <v>21</v>
      </c>
      <c r="D21" s="23">
        <v>6300</v>
      </c>
      <c r="E21" s="22">
        <v>18</v>
      </c>
      <c r="F21" s="22" t="s">
        <v>17</v>
      </c>
      <c r="G21" s="24">
        <v>46232</v>
      </c>
      <c r="H21" s="22">
        <v>9</v>
      </c>
      <c r="I21" s="22" t="s">
        <v>22</v>
      </c>
      <c r="J21" s="18" t="str">
        <f>IFERROR(_xlfn.XLOOKUP(Pedidos[[#This Row],[ID_Fornecedor]],Fornecedores[ID_Fornecedor],Fornecedores[Nome_Fornecedor]), "Fornecedor não cadastrado")</f>
        <v>Rolamentos Industrial</v>
      </c>
      <c r="K21" s="25" t="str">
        <f>IFERROR(_xlfn.XLOOKUP(Pedidos[[#This Row],[ID_Fornecedor]],Fornecedores[ID_Fornecedor],Fornecedores[Homologado]), "Fornecedor não cadastrado")</f>
        <v>Sim</v>
      </c>
      <c r="L21" s="26">
        <f>IFERROR(Pedidos[[#This Row],[Valor_Pedido]]/Pedidos[[#This Row],[Quantidade]],  "Revisar Quantidade")</f>
        <v>350</v>
      </c>
      <c r="M21" s="18" t="str" cm="1">
        <f t="array" ref="M21">_xlfn.IFS(AND(Pedidos[[#This Row],[Valor_Pedido]]&lt;=5000,Pedidos[[#This Row],[Homologado]]="Sim"),"Aprovação Automática", OR(Pedidos[[#This Row],[Valor_Pedido]]&lt;=20000,Pedidos[[#This Row],[Urgente]]="Sim"), "Aprovação Gerência", TRUE, "Aprovação Diretoria")</f>
        <v>Aprovação Gerência</v>
      </c>
      <c r="N21" s="27" t="str" cm="1">
        <f t="array" ref="N21">_xlfn.IFS(Pedidos[[#This Row],[Dias_Atraso]]&lt;=0, "Em Dia", Pedidos[[#This Row],[Dias_Atraso]]&lt;=3, "Atenção", Pedidos[[#This Row],[Dias_Atraso]]&lt;=7, "Crítico", Pedidos[[#This Row],[Dias_Atraso]]&gt;7, "Emergencial")</f>
        <v>Emergencial</v>
      </c>
    </row>
    <row r="24" spans="1:14" ht="26.25" x14ac:dyDescent="0.15">
      <c r="A24" s="28" t="s">
        <v>67</v>
      </c>
      <c r="B24" s="28" t="s">
        <v>72</v>
      </c>
    </row>
    <row r="25" spans="1:14" ht="39" x14ac:dyDescent="0.15">
      <c r="A25" s="29" t="s">
        <v>68</v>
      </c>
      <c r="B25" s="30">
        <f>SUMIFS(Pedidos[Valor_Pedido], Pedidos[Setor], "Manutenção", Pedidos[Status], "Pendente")</f>
        <v>103000</v>
      </c>
    </row>
    <row r="26" spans="1:14" ht="39" x14ac:dyDescent="0.15">
      <c r="A26" s="29" t="s">
        <v>69</v>
      </c>
      <c r="B26" s="31">
        <f>COUNTIFS(Pedidos[Criticidade], "Emergencial", Pedidos[Urgente], "Sim")</f>
        <v>3</v>
      </c>
    </row>
    <row r="27" spans="1:14" ht="26.25" x14ac:dyDescent="0.15">
      <c r="A27" s="29" t="s">
        <v>70</v>
      </c>
      <c r="B27" s="30">
        <f>SUMIFS(Pedidos[Valor_Pedido], Pedidos[Data_Pedido], "&gt;=01/07/2026", Pedidos[Data_Pedido], "&lt;=15/07/2026")</f>
        <v>136400</v>
      </c>
    </row>
    <row r="28" spans="1:14" ht="26.25" x14ac:dyDescent="0.15">
      <c r="A28" s="29" t="s">
        <v>71</v>
      </c>
      <c r="B28" s="29">
        <f>SUMIFS(Pedidos[Quantidade], Pedidos[Nivel_Aprovacao], "Aprovação Diretoria", Pedidos[Nome_Fornecedor], "Fornecedor não cadastrado")</f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zoomScaleNormal="100" workbookViewId="0">
      <selection sqref="A1:C11"/>
    </sheetView>
  </sheetViews>
  <sheetFormatPr defaultColWidth="8.7421875" defaultRowHeight="15" x14ac:dyDescent="0.2"/>
  <cols>
    <col min="1" max="1" width="18.6953125" bestFit="1" customWidth="1"/>
    <col min="2" max="2" width="29.45703125" bestFit="1" customWidth="1"/>
    <col min="3" max="3" width="16.54296875" bestFit="1" customWidth="1"/>
  </cols>
  <sheetData>
    <row r="1" spans="1:3" x14ac:dyDescent="0.2">
      <c r="A1" s="7" t="s">
        <v>1</v>
      </c>
      <c r="B1" s="8" t="s">
        <v>9</v>
      </c>
      <c r="C1" s="9" t="s">
        <v>10</v>
      </c>
    </row>
    <row r="2" spans="1:3" x14ac:dyDescent="0.2">
      <c r="A2" s="2" t="s">
        <v>15</v>
      </c>
      <c r="B2" s="1" t="s">
        <v>57</v>
      </c>
      <c r="C2" s="5" t="s">
        <v>26</v>
      </c>
    </row>
    <row r="3" spans="1:3" x14ac:dyDescent="0.2">
      <c r="A3" s="2" t="s">
        <v>20</v>
      </c>
      <c r="B3" s="1" t="s">
        <v>58</v>
      </c>
      <c r="C3" s="5" t="s">
        <v>26</v>
      </c>
    </row>
    <row r="4" spans="1:3" x14ac:dyDescent="0.2">
      <c r="A4" s="2" t="s">
        <v>33</v>
      </c>
      <c r="B4" s="1" t="s">
        <v>59</v>
      </c>
      <c r="C4" s="5" t="s">
        <v>26</v>
      </c>
    </row>
    <row r="5" spans="1:3" x14ac:dyDescent="0.2">
      <c r="A5" s="2" t="s">
        <v>28</v>
      </c>
      <c r="B5" s="1" t="s">
        <v>60</v>
      </c>
      <c r="C5" s="5" t="s">
        <v>17</v>
      </c>
    </row>
    <row r="6" spans="1:3" x14ac:dyDescent="0.2">
      <c r="A6" s="2" t="s">
        <v>30</v>
      </c>
      <c r="B6" s="1" t="s">
        <v>61</v>
      </c>
      <c r="C6" s="5" t="s">
        <v>26</v>
      </c>
    </row>
    <row r="7" spans="1:3" x14ac:dyDescent="0.2">
      <c r="A7" s="2" t="s">
        <v>46</v>
      </c>
      <c r="B7" s="1" t="s">
        <v>62</v>
      </c>
      <c r="C7" s="5" t="s">
        <v>17</v>
      </c>
    </row>
    <row r="8" spans="1:3" x14ac:dyDescent="0.2">
      <c r="A8" s="2" t="s">
        <v>38</v>
      </c>
      <c r="B8" s="1" t="s">
        <v>63</v>
      </c>
      <c r="C8" s="5" t="s">
        <v>26</v>
      </c>
    </row>
    <row r="9" spans="1:3" x14ac:dyDescent="0.2">
      <c r="A9" s="2" t="s">
        <v>40</v>
      </c>
      <c r="B9" s="1" t="s">
        <v>64</v>
      </c>
      <c r="C9" s="5" t="s">
        <v>26</v>
      </c>
    </row>
    <row r="10" spans="1:3" x14ac:dyDescent="0.2">
      <c r="A10" s="2" t="s">
        <v>43</v>
      </c>
      <c r="B10" s="1" t="s">
        <v>65</v>
      </c>
      <c r="C10" s="5" t="s">
        <v>17</v>
      </c>
    </row>
    <row r="11" spans="1:3" x14ac:dyDescent="0.2">
      <c r="A11" s="3" t="s">
        <v>50</v>
      </c>
      <c r="B11" s="4" t="s">
        <v>66</v>
      </c>
      <c r="C11" s="6" t="s">
        <v>26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17</vt:i4>
      </vt:variant>
    </vt:vector>
  </HeadingPairs>
  <TitlesOfParts>
    <vt:vector size="19" baseType="lpstr">
      <vt:lpstr>Pedidos</vt:lpstr>
      <vt:lpstr>Fornecedores</vt:lpstr>
      <vt:lpstr>Criticidade</vt:lpstr>
      <vt:lpstr>Data_Pedido</vt:lpstr>
      <vt:lpstr>Dias_Atraso</vt:lpstr>
      <vt:lpstr>Homologado</vt:lpstr>
      <vt:lpstr>Homologado2</vt:lpstr>
      <vt:lpstr>ID_Fornecedor</vt:lpstr>
      <vt:lpstr>ID_Fornecedor2</vt:lpstr>
      <vt:lpstr>ID_Pedido</vt:lpstr>
      <vt:lpstr>Nivel_Aprovacao</vt:lpstr>
      <vt:lpstr>Nome_Fornecedor</vt:lpstr>
      <vt:lpstr>Nome_Fornecedor2</vt:lpstr>
      <vt:lpstr>Quantidade</vt:lpstr>
      <vt:lpstr>Setor</vt:lpstr>
      <vt:lpstr>Status</vt:lpstr>
      <vt:lpstr>Urgente</vt:lpstr>
      <vt:lpstr>Valor_Pedido</vt:lpstr>
      <vt:lpstr>Valor_Unitario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Carlos Henrique</cp:lastModifiedBy>
  <cp:revision>0</cp:revision>
  <dcterms:created xsi:type="dcterms:W3CDTF">2026-08-06T23:10:56Z</dcterms:created>
  <dcterms:modified xsi:type="dcterms:W3CDTF">2026-08-10T23:33:24Z</dcterms:modified>
  <cp:category/>
  <cp:contentStatus/>
</cp:coreProperties>
</file>