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/>
  <xr:revisionPtr revIDLastSave="19" documentId="11_F1DFA1D9C9212B6191E7C5430D44B2F46C4C9CD3" xr6:coauthVersionLast="47" xr6:coauthVersionMax="47" xr10:uidLastSave="{998BBCBF-3DB1-754B-8723-C87FE1BD3E4D}"/>
  <bookViews>
    <workbookView xWindow="0" yWindow="0" windowWidth="16384" windowHeight="8192" tabRatio="500" xr2:uid="{00000000-000D-0000-FFFF-FFFF00000000}"/>
  </bookViews>
  <sheets>
    <sheet name="Pedidos_Compra" sheetId="1" r:id="rId1"/>
  </sheets>
  <definedNames>
    <definedName name="Fornecedor">Pedidos_Compra[Fornecedor]</definedName>
    <definedName name="Fornecedor_Homologado">Pedidos_Compra[Fornecedor_Homologado]</definedName>
    <definedName name="ID_Pedido">Pedidos_Compra[ID_Pedido]</definedName>
    <definedName name="Urgente">Pedidos_Compra[Urgente]</definedName>
    <definedName name="Valor_Pedido">Pedidos_Compra[Valor_Pedido]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<sst xmlns="http://schemas.openxmlformats.org/spreadsheetml/2006/main" count="70" uniqueCount="34">
  <si>
    <t>ID_Pedido</t>
  </si>
  <si>
    <t>Fornecedor</t>
  </si>
  <si>
    <t>Valor_Pedido</t>
  </si>
  <si>
    <t>Urgente</t>
  </si>
  <si>
    <t>Fornecedor_Homologado</t>
  </si>
  <si>
    <t>Nivel_Aprovacao</t>
  </si>
  <si>
    <t>PC101</t>
  </si>
  <si>
    <t>Aços do Brasil</t>
  </si>
  <si>
    <t>Não</t>
  </si>
  <si>
    <t>Sim</t>
  </si>
  <si>
    <t>PC102</t>
  </si>
  <si>
    <t>Solda Forte Ltda</t>
  </si>
  <si>
    <t>PC103</t>
  </si>
  <si>
    <t>EPI Segurança SA</t>
  </si>
  <si>
    <t>PC104</t>
  </si>
  <si>
    <t>Elétrica Nuclear Ltda</t>
  </si>
  <si>
    <t>PC105</t>
  </si>
  <si>
    <t>Ferramentas Tec</t>
  </si>
  <si>
    <t>PC106</t>
  </si>
  <si>
    <t>Válvulas &amp; Cia</t>
  </si>
  <si>
    <t>PC107</t>
  </si>
  <si>
    <t>Rolamentos Industrial</t>
  </si>
  <si>
    <t>PC108</t>
  </si>
  <si>
    <t>PC109</t>
  </si>
  <si>
    <t>Tintas Anticorrosivas SA</t>
  </si>
  <si>
    <t>PC110</t>
  </si>
  <si>
    <t>Isolamento Térmico Nacional</t>
  </si>
  <si>
    <t>PC111</t>
  </si>
  <si>
    <t>Metalúrgica Sul</t>
  </si>
  <si>
    <t>PC112</t>
  </si>
  <si>
    <t>PC113</t>
  </si>
  <si>
    <t>PC114</t>
  </si>
  <si>
    <t>PC115</t>
  </si>
  <si>
    <t>PC116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</si>
</sst>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0" fontId="3" fillId="0" borderId="3" xfId="0" applyFont="1" applyBorder="1"/>
  </cellXfs>
  <cellStyles count="1">
    <cellStyle name="Normal" xfId="0" builtinId="0"/>
  </cellStyles>
  <dxfs count="1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AE0F-ACB5-5B44-8147-E3C24980FC2F}" name="Pedidos_Compra" displayName="Pedidos_Compra" ref="A1:F17" totalsRowShown="0" headerRowDxfId="10" dataDxfId="8" headerRowBorderDxfId="9" tableBorderDxfId="7" totalsRowBorderDxfId="6">
  <autoFilter ref="A1:F17" xr:uid="{F3D0AE0F-ACB5-5B44-8147-E3C24980FC2F}"/>
  <tableColumns count="6">
    <tableColumn id="1" xr3:uid="{73ED0B7F-3266-3347-88F2-ECF3B89AEDFC}" name="ID_Pedido" dataDxfId="5"/>
    <tableColumn id="2" xr3:uid="{6EE1C05B-8436-DD45-8DF3-A1756CD80171}" name="Fornecedor" dataDxfId="4"/>
    <tableColumn id="3" xr3:uid="{4FAE9371-CD1C-3746-A2C6-F625D3FF2303}" name="Valor_Pedido" dataDxfId="3"/>
    <tableColumn id="4" xr3:uid="{93E9F297-7442-6B4A-825D-5EA40C493D44}" name="Urgente" dataDxfId="2"/>
    <tableColumn id="5" xr3:uid="{491CD5E3-2D64-6C42-BF7B-D484571D9C27}" name="Fornecedor_Homologado" dataDxfId="1"/>
    <tableColumn id="6" xr3:uid="{FFE92AA5-303C-414D-8C35-DF8AF195A252}" name="Nivel_Aprovacao" dataDxfId="0">
      <calculatedColumnFormula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pane ySplit="1" topLeftCell="A2" activePane="bottomLeft" state="frozen"/>
      <selection pane="bottomLeft" activeCell="F4" sqref="F4"/>
    </sheetView>
  </sheetViews>
  <sheetFormatPr defaultColWidth="8.7421875" defaultRowHeight="15" x14ac:dyDescent="0.2"/>
  <cols>
    <col min="1" max="1" width="13.1796875" customWidth="1"/>
    <col min="2" max="2" width="25.9609375" customWidth="1"/>
    <col min="3" max="3" width="16.140625" customWidth="1"/>
    <col min="4" max="4" width="11.02734375" customWidth="1"/>
    <col min="5" max="5" width="27.84375" customWidth="1"/>
    <col min="6" max="6" width="20.04296875" customWidth="1"/>
  </cols>
  <sheetData>
    <row r="1" spans="1: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">
      <c r="A2" s="3" t="s">
        <v>6</v>
      </c>
      <c r="B2" s="1" t="s">
        <v>7</v>
      </c>
      <c r="C2" s="2">
        <v>4200</v>
      </c>
      <c r="D2" s="1" t="s">
        <v>8</v>
      </c>
      <c r="E2" s="1" t="s">
        <v>9</v>
      </c>
      <c r="F2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Automática</v>
      </c>
    </row>
    <row r="3" spans="1:6" x14ac:dyDescent="0.2">
      <c r="A3" s="3" t="s">
        <v>10</v>
      </c>
      <c r="B3" s="1" t="s">
        <v>11</v>
      </c>
      <c r="C3" s="2">
        <v>18500</v>
      </c>
      <c r="D3" s="1" t="s">
        <v>8</v>
      </c>
      <c r="E3" s="1" t="s">
        <v>9</v>
      </c>
      <c r="F3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4" spans="1:6" x14ac:dyDescent="0.2">
      <c r="A4" s="3" t="s">
        <v>12</v>
      </c>
      <c r="B4" s="1" t="s">
        <v>13</v>
      </c>
      <c r="C4" s="2">
        <v>1200</v>
      </c>
      <c r="D4" s="1" t="s">
        <v>9</v>
      </c>
      <c r="E4" s="1" t="s">
        <v>9</v>
      </c>
      <c r="F4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Automática</v>
      </c>
    </row>
    <row r="5" spans="1:6" x14ac:dyDescent="0.2">
      <c r="A5" s="3" t="s">
        <v>14</v>
      </c>
      <c r="B5" s="1" t="s">
        <v>15</v>
      </c>
      <c r="C5" s="2">
        <v>35000</v>
      </c>
      <c r="D5" s="1" t="s">
        <v>8</v>
      </c>
      <c r="E5" s="1" t="s">
        <v>9</v>
      </c>
      <c r="F5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Diretoria</v>
      </c>
    </row>
    <row r="6" spans="1:6" x14ac:dyDescent="0.2">
      <c r="A6" s="3" t="s">
        <v>16</v>
      </c>
      <c r="B6" s="1" t="s">
        <v>17</v>
      </c>
      <c r="C6" s="2">
        <v>4800</v>
      </c>
      <c r="D6" s="1" t="s">
        <v>8</v>
      </c>
      <c r="E6" s="1" t="s">
        <v>8</v>
      </c>
      <c r="F6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7" spans="1:6" x14ac:dyDescent="0.2">
      <c r="A7" s="3" t="s">
        <v>18</v>
      </c>
      <c r="B7" s="1" t="s">
        <v>19</v>
      </c>
      <c r="C7" s="2">
        <v>9500</v>
      </c>
      <c r="D7" s="1" t="s">
        <v>9</v>
      </c>
      <c r="E7" s="1" t="s">
        <v>8</v>
      </c>
      <c r="F7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8" spans="1:6" x14ac:dyDescent="0.2">
      <c r="A8" s="3" t="s">
        <v>20</v>
      </c>
      <c r="B8" s="1" t="s">
        <v>21</v>
      </c>
      <c r="C8" s="2">
        <v>2900</v>
      </c>
      <c r="D8" s="1" t="s">
        <v>8</v>
      </c>
      <c r="E8" s="1" t="s">
        <v>9</v>
      </c>
      <c r="F8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Automática</v>
      </c>
    </row>
    <row r="9" spans="1:6" x14ac:dyDescent="0.2">
      <c r="A9" s="3" t="s">
        <v>22</v>
      </c>
      <c r="B9" s="1" t="s">
        <v>7</v>
      </c>
      <c r="C9" s="2">
        <v>42000</v>
      </c>
      <c r="D9" s="1" t="s">
        <v>8</v>
      </c>
      <c r="E9" s="1" t="s">
        <v>9</v>
      </c>
      <c r="F9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Diretoria</v>
      </c>
    </row>
    <row r="10" spans="1:6" x14ac:dyDescent="0.2">
      <c r="A10" s="3" t="s">
        <v>23</v>
      </c>
      <c r="B10" s="1" t="s">
        <v>24</v>
      </c>
      <c r="C10" s="2">
        <v>6700</v>
      </c>
      <c r="D10" s="1" t="s">
        <v>8</v>
      </c>
      <c r="E10" s="1" t="s">
        <v>8</v>
      </c>
      <c r="F10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11" spans="1:6" x14ac:dyDescent="0.2">
      <c r="A11" s="3" t="s">
        <v>25</v>
      </c>
      <c r="B11" s="1" t="s">
        <v>26</v>
      </c>
      <c r="C11" s="2">
        <v>3100</v>
      </c>
      <c r="D11" s="1" t="s">
        <v>9</v>
      </c>
      <c r="E11" s="1" t="s">
        <v>8</v>
      </c>
      <c r="F11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12" spans="1:6" x14ac:dyDescent="0.2">
      <c r="A12" s="3" t="s">
        <v>27</v>
      </c>
      <c r="B12" s="1" t="s">
        <v>28</v>
      </c>
      <c r="C12" s="2">
        <v>19800</v>
      </c>
      <c r="D12" s="1" t="s">
        <v>8</v>
      </c>
      <c r="E12" s="1" t="s">
        <v>9</v>
      </c>
      <c r="F12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13" spans="1:6" x14ac:dyDescent="0.2">
      <c r="A13" s="3" t="s">
        <v>29</v>
      </c>
      <c r="B13" s="1" t="s">
        <v>11</v>
      </c>
      <c r="C13" s="2">
        <v>800</v>
      </c>
      <c r="D13" s="1" t="s">
        <v>8</v>
      </c>
      <c r="E13" s="1" t="s">
        <v>9</v>
      </c>
      <c r="F13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Automática</v>
      </c>
    </row>
    <row r="14" spans="1:6" x14ac:dyDescent="0.2">
      <c r="A14" s="3" t="s">
        <v>30</v>
      </c>
      <c r="B14" s="1" t="s">
        <v>15</v>
      </c>
      <c r="C14" s="2">
        <v>27500</v>
      </c>
      <c r="D14" s="1" t="s">
        <v>9</v>
      </c>
      <c r="E14" s="1" t="s">
        <v>9</v>
      </c>
      <c r="F14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15" spans="1:6" x14ac:dyDescent="0.2">
      <c r="A15" s="3" t="s">
        <v>31</v>
      </c>
      <c r="B15" s="1" t="s">
        <v>17</v>
      </c>
      <c r="C15" s="2">
        <v>5000</v>
      </c>
      <c r="D15" s="1" t="s">
        <v>8</v>
      </c>
      <c r="E15" s="1" t="s">
        <v>9</v>
      </c>
      <c r="F15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Automática</v>
      </c>
    </row>
    <row r="16" spans="1:6" x14ac:dyDescent="0.2">
      <c r="A16" s="3" t="s">
        <v>32</v>
      </c>
      <c r="B16" s="1" t="s">
        <v>19</v>
      </c>
      <c r="C16" s="2">
        <v>15200</v>
      </c>
      <c r="D16" s="1" t="s">
        <v>8</v>
      </c>
      <c r="E16" s="1" t="s">
        <v>8</v>
      </c>
      <c r="F16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  <row r="17" spans="1:6" x14ac:dyDescent="0.2">
      <c r="A17" s="7" t="s">
        <v>33</v>
      </c>
      <c r="B17" s="8" t="s">
        <v>13</v>
      </c>
      <c r="C17" s="9">
        <v>4300</v>
      </c>
      <c r="D17" s="8" t="s">
        <v>9</v>
      </c>
      <c r="E17" s="8" t="s">
        <v>8</v>
      </c>
      <c r="F17" s="10" t="str">
        <f>IF(AND(Pedidos_Compra[[#This Row],[Valor_Pedido]]&lt;=5000, Pedidos_Compra[[#This Row],[Fornecedor_Homologado]]="Sim"), "Aprovação Automática", IF(OR(Pedidos_Compra[[#This Row],[Valor_Pedido]]&lt;=20000,Pedidos_Compra[[#This Row],[Urgente]]="Sim"), "Aprovação Gerência", "Aprovação Diretoria"))</f>
        <v>Aprovação Gerência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Pedidos_Compra</vt:lpstr>
      <vt:lpstr>Fornecedor</vt:lpstr>
      <vt:lpstr>Fornecedor_Homologado</vt:lpstr>
      <vt:lpstr>ID_Pedido</vt:lpstr>
      <vt:lpstr>Urgente</vt:lpstr>
      <vt:lpstr>Valor_Pedido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2026-08-05T19:22:09Z</dcterms:created>
  <dcterms:modified xsi:type="dcterms:W3CDTF">2026-08-05T20:34:43Z</dcterms:modified>
  <cp:category/>
  <cp:contentStatus/>
</cp:coreProperties>
</file>