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/>
  <xr:revisionPtr revIDLastSave="134" documentId="11_F1DFDB0998EF3F1324A90A40895276B373089721" xr6:coauthVersionLast="47" xr6:coauthVersionMax="47" xr10:uidLastSave="{B354A62B-F696-264E-9F6A-0B8B256BF848}"/>
  <bookViews>
    <workbookView xWindow="0" yWindow="0" windowWidth="16384" windowHeight="8192" tabRatio="500" xr2:uid="{00000000-000D-0000-FFFF-FFFF00000000}"/>
  </bookViews>
  <sheets>
    <sheet name="Abastecimentos" sheetId="1" r:id="rId1"/>
  </sheets>
  <definedNames>
    <definedName name="Data">Abastecimentos[Data]</definedName>
    <definedName name="ID_Abastecimento">Abastecimentos[ID_Abastecimento]</definedName>
    <definedName name="Litros">Abastecimentos[Litros]</definedName>
    <definedName name="Preco_Litro">Abastecimentos[Preco_Litro]</definedName>
    <definedName name="Setor">Abastecimentos[Setor]</definedName>
    <definedName name="Status_Pagamento">Abastecimentos[Status_Pagamento]</definedName>
    <definedName name="Veiculo">Abastecimentos[Veiculo]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1" l="1"/>
  <c r="B24" i="1"/>
  <c r="B2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</calcChain>
</file>

<file path=xl/sharedStrings.xml><?xml version="1.0" encoding="utf-8"?>
<sst xmlns="http://schemas.openxmlformats.org/spreadsheetml/2006/main" count="85" uniqueCount="44">
  <si>
    <t>ID_Abastecimento</t>
  </si>
  <si>
    <t>Veiculo</t>
  </si>
  <si>
    <t>Setor</t>
  </si>
  <si>
    <t>Litros</t>
  </si>
  <si>
    <t>Preco_Litro</t>
  </si>
  <si>
    <t>Data</t>
  </si>
  <si>
    <t>Status_Pagamento</t>
  </si>
  <si>
    <t>Valor_Total</t>
  </si>
  <si>
    <t>AB001</t>
  </si>
  <si>
    <t>Caminhão 01</t>
  </si>
  <si>
    <t>Manutenção</t>
  </si>
  <si>
    <t>Pago</t>
  </si>
  <si>
    <t>AB002</t>
  </si>
  <si>
    <t>Van 03</t>
  </si>
  <si>
    <t>Produção</t>
  </si>
  <si>
    <t>Pendente</t>
  </si>
  <si>
    <t>AB003</t>
  </si>
  <si>
    <t>Empilhadeira 02</t>
  </si>
  <si>
    <t>AB004</t>
  </si>
  <si>
    <t>Caminhão 02</t>
  </si>
  <si>
    <t>Logística</t>
  </si>
  <si>
    <t>AB005</t>
  </si>
  <si>
    <t>Van 01</t>
  </si>
  <si>
    <t>AB006</t>
  </si>
  <si>
    <t>AB007</t>
  </si>
  <si>
    <t>Empilhadeira 01</t>
  </si>
  <si>
    <t>AB008</t>
  </si>
  <si>
    <t>Van 02</t>
  </si>
  <si>
    <t>AB009</t>
  </si>
  <si>
    <t>Caminhão 03</t>
  </si>
  <si>
    <t>AB010</t>
  </si>
  <si>
    <t>AB011</t>
  </si>
  <si>
    <t>AB012</t>
  </si>
  <si>
    <t>AB013</t>
  </si>
  <si>
    <t>AB014</t>
  </si>
  <si>
    <t>AB015</t>
  </si>
  <si>
    <t>AB016</t>
  </si>
  <si>
    <t>AB017</t>
  </si>
  <si>
    <t>AB018</t>
  </si>
  <si>
    <t>Resumo - Fechamento Semanal</t>
  </si>
  <si>
    <t>Valor</t>
  </si>
  <si>
    <t>Total Manutenção (Pago):</t>
  </si>
  <si>
    <t>Pendentes Produção:</t>
  </si>
  <si>
    <t>Abastecimentos &gt; 40L: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</si>
</sst>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color rgb="FF000000"/>
      <name val="Arial"/>
      <charset val="1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4" fontId="2" fillId="0" borderId="8" xfId="0" applyNumberFormat="1" applyFont="1" applyBorder="1"/>
    <xf numFmtId="164" fontId="2" fillId="0" borderId="8" xfId="0" applyNumberFormat="1" applyFont="1" applyBorder="1"/>
    <xf numFmtId="0" fontId="3" fillId="0" borderId="3" xfId="0" applyFont="1" applyBorder="1"/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4" fillId="3" borderId="12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19">
    <dxf>
      <font>
        <name val="Arial"/>
      </font>
      <numFmt numFmtId="0" formatCode="General"/>
      <alignment horizontal="right" vertical="center"/>
      <border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ont>
        <name val="Arial"/>
      </font>
      <alignment horizontal="left" vertical="center"/>
      <border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name val="Arial"/>
      </font>
      <alignment horizontal="center" vertical="center"/>
    </dxf>
    <dxf>
      <border>
        <bottom style="thin">
          <color theme="0" tint="-0.249977111117893"/>
        </bottom>
      </border>
    </dxf>
    <dxf>
      <font>
        <b val="0"/>
        <name val="Arial"/>
      </font>
      <fill>
        <patternFill patternType="solid">
          <fgColor theme="3"/>
          <bgColor indexed="64"/>
        </patternFill>
      </fill>
      <alignment horizontal="general" vertical="center" wrapText="0"/>
      <border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dd/mm/yyyy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4" formatCode="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D7528-2F86-4E73-8E46-93C9FFAD7CE5}" name="Abastecimentos" displayName="Abastecimentos" ref="A1:H19" totalsRowShown="0" headerRowDxfId="18" headerRowBorderDxfId="17" tableBorderDxfId="16" totalsRowBorderDxfId="15">
  <autoFilter ref="A1:H19" xr:uid="{671D7528-2F86-4E73-8E46-93C9FFAD7CE5}"/>
  <tableColumns count="8">
    <tableColumn id="1" xr3:uid="{AFFB59B2-8038-4D40-85D7-DF8189FE08A8}" name="ID_Abastecimento" dataDxfId="14"/>
    <tableColumn id="2" xr3:uid="{BAD1FBDC-8CB4-437F-871C-9668E5294854}" name="Veiculo" dataDxfId="13"/>
    <tableColumn id="3" xr3:uid="{C3D95FF1-3490-4F57-8181-51BF16116040}" name="Setor" dataDxfId="12"/>
    <tableColumn id="4" xr3:uid="{46EB459C-382B-48D6-8729-DD2ADF7D29B9}" name="Litros" dataDxfId="11"/>
    <tableColumn id="5" xr3:uid="{F1145E96-C126-4938-91EF-B5B0A1BC021E}" name="Preco_Litro" dataDxfId="10"/>
    <tableColumn id="6" xr3:uid="{D13F0BEC-316F-42E9-8A9B-FC6699ED7D29}" name="Data" dataDxfId="9"/>
    <tableColumn id="7" xr3:uid="{04729680-D9DD-4EFA-93A0-9DC149AEC103}" name="Status_Pagamento" dataDxfId="8"/>
    <tableColumn id="8" xr3:uid="{BA0ED742-A805-4F75-A1AA-58B6F03AB780}" name="Valor_Total" dataDxfId="7">
      <calculatedColumnFormula>Abastecimentos[[#This Row],[Litros]]*Abastecimentos[[#This Row],[Preco_Litro]]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DB260C-6B52-F146-BE8B-91C2FBBDF6C1}" name="Table12" displayName="Table12" ref="A22:B25" totalsRowShown="0" headerRowDxfId="6" dataDxfId="4" headerRowBorderDxfId="5" tableBorderDxfId="3" totalsRowBorderDxfId="2">
  <autoFilter ref="A22:B25" xr:uid="{F7DB260C-6B52-F146-BE8B-91C2FBBDF6C1}"/>
  <tableColumns count="2">
    <tableColumn id="1" xr3:uid="{FE147556-F435-5949-A394-39737D8017BF}" name="Resumo - Fechamento Semanal" dataDxfId="1"/>
    <tableColumn id="2" xr3:uid="{115E42C9-8E44-934C-A8B4-A29005922D48}" name="Valor" dataDxfId="0">
      <calculatedColumnFormula>SUMIFS(Abastecimentos[Valor_Total],Abastecimentos[Setor],"Manutenção",Abastecimentos[Status_Pagamento],"Pago")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pane ySplit="1" topLeftCell="A10" activePane="bottomLeft" state="frozen"/>
      <selection pane="bottomLeft" activeCell="A25" sqref="A25"/>
    </sheetView>
  </sheetViews>
  <sheetFormatPr defaultColWidth="8.7421875" defaultRowHeight="15" x14ac:dyDescent="0.2"/>
  <cols>
    <col min="1" max="1" width="24.078125" customWidth="1"/>
    <col min="2" max="2" width="15.19921875" bestFit="1" customWidth="1"/>
    <col min="3" max="3" width="13.98828125" customWidth="1"/>
    <col min="4" max="4" width="9.953125" customWidth="1"/>
    <col min="5" max="5" width="15.33203125" bestFit="1" customWidth="1"/>
    <col min="6" max="6" width="13.046875" customWidth="1"/>
    <col min="7" max="7" width="23" bestFit="1" customWidth="1"/>
    <col min="8" max="8" width="15.19921875" bestFit="1" customWidth="1"/>
  </cols>
  <sheetData>
    <row r="1" spans="1:8" x14ac:dyDescent="0.2">
      <c r="A1" s="5" t="s">
        <v>0</v>
      </c>
      <c r="B1" s="1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x14ac:dyDescent="0.2">
      <c r="A2" s="4" t="s">
        <v>8</v>
      </c>
      <c r="B2" s="1" t="s">
        <v>9</v>
      </c>
      <c r="C2" s="1" t="s">
        <v>10</v>
      </c>
      <c r="D2" s="1">
        <v>55</v>
      </c>
      <c r="E2" s="2">
        <v>6.19</v>
      </c>
      <c r="F2" s="3">
        <v>46223</v>
      </c>
      <c r="G2" s="1" t="s">
        <v>11</v>
      </c>
      <c r="H2" s="12">
        <f>Abastecimentos[[#This Row],[Litros]]*Abastecimentos[[#This Row],[Preco_Litro]]</f>
        <v>340.45000000000005</v>
      </c>
    </row>
    <row r="3" spans="1:8" x14ac:dyDescent="0.2">
      <c r="A3" s="4" t="s">
        <v>12</v>
      </c>
      <c r="B3" s="1" t="s">
        <v>13</v>
      </c>
      <c r="C3" s="1" t="s">
        <v>14</v>
      </c>
      <c r="D3" s="1">
        <v>32</v>
      </c>
      <c r="E3" s="2">
        <v>6.19</v>
      </c>
      <c r="F3" s="3">
        <v>46223</v>
      </c>
      <c r="G3" s="1" t="s">
        <v>15</v>
      </c>
      <c r="H3" s="12">
        <f>Abastecimentos[[#This Row],[Litros]]*Abastecimentos[[#This Row],[Preco_Litro]]</f>
        <v>198.08</v>
      </c>
    </row>
    <row r="4" spans="1:8" x14ac:dyDescent="0.2">
      <c r="A4" s="4" t="s">
        <v>16</v>
      </c>
      <c r="B4" s="1" t="s">
        <v>17</v>
      </c>
      <c r="C4" s="1" t="s">
        <v>10</v>
      </c>
      <c r="D4" s="1">
        <v>28</v>
      </c>
      <c r="E4" s="2">
        <v>6.19</v>
      </c>
      <c r="F4" s="3">
        <v>46223</v>
      </c>
      <c r="G4" s="1" t="s">
        <v>11</v>
      </c>
      <c r="H4" s="12">
        <f>Abastecimentos[[#This Row],[Litros]]*Abastecimentos[[#This Row],[Preco_Litro]]</f>
        <v>173.32000000000002</v>
      </c>
    </row>
    <row r="5" spans="1:8" x14ac:dyDescent="0.2">
      <c r="A5" s="4" t="s">
        <v>18</v>
      </c>
      <c r="B5" s="1" t="s">
        <v>19</v>
      </c>
      <c r="C5" s="1" t="s">
        <v>20</v>
      </c>
      <c r="D5" s="1">
        <v>60</v>
      </c>
      <c r="E5" s="2">
        <v>6.19</v>
      </c>
      <c r="F5" s="3">
        <v>46224</v>
      </c>
      <c r="G5" s="1" t="s">
        <v>11</v>
      </c>
      <c r="H5" s="12">
        <f>Abastecimentos[[#This Row],[Litros]]*Abastecimentos[[#This Row],[Preco_Litro]]</f>
        <v>371.40000000000003</v>
      </c>
    </row>
    <row r="6" spans="1:8" x14ac:dyDescent="0.2">
      <c r="A6" s="4" t="s">
        <v>21</v>
      </c>
      <c r="B6" s="1" t="s">
        <v>22</v>
      </c>
      <c r="C6" s="1" t="s">
        <v>14</v>
      </c>
      <c r="D6" s="1">
        <v>35</v>
      </c>
      <c r="E6" s="2">
        <v>6.19</v>
      </c>
      <c r="F6" s="3">
        <v>46224</v>
      </c>
      <c r="G6" s="1" t="s">
        <v>15</v>
      </c>
      <c r="H6" s="12">
        <f>Abastecimentos[[#This Row],[Litros]]*Abastecimentos[[#This Row],[Preco_Litro]]</f>
        <v>216.65</v>
      </c>
    </row>
    <row r="7" spans="1:8" x14ac:dyDescent="0.2">
      <c r="A7" s="4" t="s">
        <v>23</v>
      </c>
      <c r="B7" s="1" t="s">
        <v>9</v>
      </c>
      <c r="C7" s="1" t="s">
        <v>10</v>
      </c>
      <c r="D7" s="1">
        <v>48</v>
      </c>
      <c r="E7" s="2">
        <v>6.19</v>
      </c>
      <c r="F7" s="3">
        <v>46224</v>
      </c>
      <c r="G7" s="1" t="s">
        <v>11</v>
      </c>
      <c r="H7" s="12">
        <f>Abastecimentos[[#This Row],[Litros]]*Abastecimentos[[#This Row],[Preco_Litro]]</f>
        <v>297.12</v>
      </c>
    </row>
    <row r="8" spans="1:8" x14ac:dyDescent="0.2">
      <c r="A8" s="4" t="s">
        <v>24</v>
      </c>
      <c r="B8" s="1" t="s">
        <v>25</v>
      </c>
      <c r="C8" s="1" t="s">
        <v>14</v>
      </c>
      <c r="D8" s="1">
        <v>22</v>
      </c>
      <c r="E8" s="2">
        <v>6.19</v>
      </c>
      <c r="F8" s="3">
        <v>46225</v>
      </c>
      <c r="G8" s="1" t="s">
        <v>11</v>
      </c>
      <c r="H8" s="12">
        <f>Abastecimentos[[#This Row],[Litros]]*Abastecimentos[[#This Row],[Preco_Litro]]</f>
        <v>136.18</v>
      </c>
    </row>
    <row r="9" spans="1:8" x14ac:dyDescent="0.2">
      <c r="A9" s="4" t="s">
        <v>26</v>
      </c>
      <c r="B9" s="1" t="s">
        <v>27</v>
      </c>
      <c r="C9" s="1" t="s">
        <v>10</v>
      </c>
      <c r="D9" s="1">
        <v>41</v>
      </c>
      <c r="E9" s="2">
        <v>6.19</v>
      </c>
      <c r="F9" s="3">
        <v>46225</v>
      </c>
      <c r="G9" s="1" t="s">
        <v>15</v>
      </c>
      <c r="H9" s="12">
        <f>Abastecimentos[[#This Row],[Litros]]*Abastecimentos[[#This Row],[Preco_Litro]]</f>
        <v>253.79000000000002</v>
      </c>
    </row>
    <row r="10" spans="1:8" x14ac:dyDescent="0.2">
      <c r="A10" s="4" t="s">
        <v>28</v>
      </c>
      <c r="B10" s="1" t="s">
        <v>29</v>
      </c>
      <c r="C10" s="1" t="s">
        <v>20</v>
      </c>
      <c r="D10" s="1">
        <v>58</v>
      </c>
      <c r="E10" s="2">
        <v>6.19</v>
      </c>
      <c r="F10" s="3">
        <v>46225</v>
      </c>
      <c r="G10" s="1" t="s">
        <v>11</v>
      </c>
      <c r="H10" s="12">
        <f>Abastecimentos[[#This Row],[Litros]]*Abastecimentos[[#This Row],[Preco_Litro]]</f>
        <v>359.02000000000004</v>
      </c>
    </row>
    <row r="11" spans="1:8" x14ac:dyDescent="0.2">
      <c r="A11" s="4" t="s">
        <v>30</v>
      </c>
      <c r="B11" s="1" t="s">
        <v>13</v>
      </c>
      <c r="C11" s="1" t="s">
        <v>14</v>
      </c>
      <c r="D11" s="1">
        <v>30</v>
      </c>
      <c r="E11" s="2">
        <v>6.19</v>
      </c>
      <c r="F11" s="3">
        <v>46226</v>
      </c>
      <c r="G11" s="1" t="s">
        <v>15</v>
      </c>
      <c r="H11" s="12">
        <f>Abastecimentos[[#This Row],[Litros]]*Abastecimentos[[#This Row],[Preco_Litro]]</f>
        <v>185.70000000000002</v>
      </c>
    </row>
    <row r="12" spans="1:8" x14ac:dyDescent="0.2">
      <c r="A12" s="4" t="s">
        <v>31</v>
      </c>
      <c r="B12" s="1" t="s">
        <v>19</v>
      </c>
      <c r="C12" s="1" t="s">
        <v>10</v>
      </c>
      <c r="D12" s="1">
        <v>52</v>
      </c>
      <c r="E12" s="2">
        <v>6.19</v>
      </c>
      <c r="F12" s="3">
        <v>46226</v>
      </c>
      <c r="G12" s="1" t="s">
        <v>11</v>
      </c>
      <c r="H12" s="12">
        <f>Abastecimentos[[#This Row],[Litros]]*Abastecimentos[[#This Row],[Preco_Litro]]</f>
        <v>321.88</v>
      </c>
    </row>
    <row r="13" spans="1:8" x14ac:dyDescent="0.2">
      <c r="A13" s="4" t="s">
        <v>32</v>
      </c>
      <c r="B13" s="1" t="s">
        <v>17</v>
      </c>
      <c r="C13" s="1" t="s">
        <v>10</v>
      </c>
      <c r="D13" s="1">
        <v>25</v>
      </c>
      <c r="E13" s="2">
        <v>6.19</v>
      </c>
      <c r="F13" s="3">
        <v>46226</v>
      </c>
      <c r="G13" s="1" t="s">
        <v>11</v>
      </c>
      <c r="H13" s="12">
        <f>Abastecimentos[[#This Row],[Litros]]*Abastecimentos[[#This Row],[Preco_Litro]]</f>
        <v>154.75</v>
      </c>
    </row>
    <row r="14" spans="1:8" x14ac:dyDescent="0.2">
      <c r="A14" s="4" t="s">
        <v>33</v>
      </c>
      <c r="B14" s="1" t="s">
        <v>22</v>
      </c>
      <c r="C14" s="1" t="s">
        <v>14</v>
      </c>
      <c r="D14" s="1">
        <v>44</v>
      </c>
      <c r="E14" s="2">
        <v>6.19</v>
      </c>
      <c r="F14" s="3">
        <v>46227</v>
      </c>
      <c r="G14" s="1" t="s">
        <v>15</v>
      </c>
      <c r="H14" s="12">
        <f>Abastecimentos[[#This Row],[Litros]]*Abastecimentos[[#This Row],[Preco_Litro]]</f>
        <v>272.36</v>
      </c>
    </row>
    <row r="15" spans="1:8" x14ac:dyDescent="0.2">
      <c r="A15" s="4" t="s">
        <v>34</v>
      </c>
      <c r="B15" s="1" t="s">
        <v>9</v>
      </c>
      <c r="C15" s="1" t="s">
        <v>10</v>
      </c>
      <c r="D15" s="1">
        <v>50</v>
      </c>
      <c r="E15" s="2">
        <v>6.19</v>
      </c>
      <c r="F15" s="3">
        <v>46227</v>
      </c>
      <c r="G15" s="1" t="s">
        <v>11</v>
      </c>
      <c r="H15" s="12">
        <f>Abastecimentos[[#This Row],[Litros]]*Abastecimentos[[#This Row],[Preco_Litro]]</f>
        <v>309.5</v>
      </c>
    </row>
    <row r="16" spans="1:8" x14ac:dyDescent="0.2">
      <c r="A16" s="4" t="s">
        <v>35</v>
      </c>
      <c r="B16" s="1" t="s">
        <v>29</v>
      </c>
      <c r="C16" s="1" t="s">
        <v>20</v>
      </c>
      <c r="D16" s="1">
        <v>39</v>
      </c>
      <c r="E16" s="2">
        <v>6.19</v>
      </c>
      <c r="F16" s="3">
        <v>46227</v>
      </c>
      <c r="G16" s="1" t="s">
        <v>11</v>
      </c>
      <c r="H16" s="12">
        <f>Abastecimentos[[#This Row],[Litros]]*Abastecimentos[[#This Row],[Preco_Litro]]</f>
        <v>241.41000000000003</v>
      </c>
    </row>
    <row r="17" spans="1:8" x14ac:dyDescent="0.2">
      <c r="A17" s="4" t="s">
        <v>36</v>
      </c>
      <c r="B17" s="1" t="s">
        <v>27</v>
      </c>
      <c r="C17" s="1" t="s">
        <v>14</v>
      </c>
      <c r="D17" s="1">
        <v>33</v>
      </c>
      <c r="E17" s="2">
        <v>6.19</v>
      </c>
      <c r="F17" s="3">
        <v>46228</v>
      </c>
      <c r="G17" s="1" t="s">
        <v>15</v>
      </c>
      <c r="H17" s="12">
        <f>Abastecimentos[[#This Row],[Litros]]*Abastecimentos[[#This Row],[Preco_Litro]]</f>
        <v>204.27</v>
      </c>
    </row>
    <row r="18" spans="1:8" x14ac:dyDescent="0.2">
      <c r="A18" s="4" t="s">
        <v>37</v>
      </c>
      <c r="B18" s="1" t="s">
        <v>25</v>
      </c>
      <c r="C18" s="1" t="s">
        <v>14</v>
      </c>
      <c r="D18" s="1">
        <v>27</v>
      </c>
      <c r="E18" s="2">
        <v>6.19</v>
      </c>
      <c r="F18" s="3">
        <v>46228</v>
      </c>
      <c r="G18" s="1" t="s">
        <v>11</v>
      </c>
      <c r="H18" s="12">
        <f>Abastecimentos[[#This Row],[Litros]]*Abastecimentos[[#This Row],[Preco_Litro]]</f>
        <v>167.13000000000002</v>
      </c>
    </row>
    <row r="19" spans="1:8" x14ac:dyDescent="0.2">
      <c r="A19" s="8" t="s">
        <v>38</v>
      </c>
      <c r="B19" s="9" t="s">
        <v>19</v>
      </c>
      <c r="C19" s="9" t="s">
        <v>10</v>
      </c>
      <c r="D19" s="9">
        <v>46</v>
      </c>
      <c r="E19" s="10">
        <v>6.19</v>
      </c>
      <c r="F19" s="11">
        <v>46228</v>
      </c>
      <c r="G19" s="9" t="s">
        <v>11</v>
      </c>
      <c r="H19" s="12">
        <f>Abastecimentos[[#This Row],[Litros]]*Abastecimentos[[#This Row],[Preco_Litro]]</f>
        <v>284.74</v>
      </c>
    </row>
    <row r="22" spans="1:8" s="19" customFormat="1" x14ac:dyDescent="0.2">
      <c r="A22" s="18" t="s">
        <v>39</v>
      </c>
      <c r="B22" s="16" t="s">
        <v>40</v>
      </c>
    </row>
    <row r="23" spans="1:8" x14ac:dyDescent="0.2">
      <c r="A23" s="13" t="s">
        <v>41</v>
      </c>
      <c r="B23" s="14">
        <f>SUMIFS(Abastecimentos[Valor_Total],Abastecimentos[Setor],"Manutenção",Abastecimentos[Status_Pagamento],"Pago")</f>
        <v>1881.76</v>
      </c>
    </row>
    <row r="24" spans="1:8" x14ac:dyDescent="0.2">
      <c r="A24" s="13" t="s">
        <v>42</v>
      </c>
      <c r="B24" s="14">
        <f>COUNTIFS(Abastecimentos[Setor],"Produção",Abastecimentos[Status_Pagamento],"Pendente")</f>
        <v>5</v>
      </c>
    </row>
    <row r="25" spans="1:8" x14ac:dyDescent="0.2">
      <c r="A25" s="15" t="s">
        <v>43</v>
      </c>
      <c r="B25" s="14">
        <f>COUNTIFS(Abastecimentos[Litros], "&gt;40")</f>
        <v>9</v>
      </c>
    </row>
  </sheetData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Abastecimentos</vt:lpstr>
      <vt:lpstr>Data</vt:lpstr>
      <vt:lpstr>ID_Abastecimento</vt:lpstr>
      <vt:lpstr>Litros</vt:lpstr>
      <vt:lpstr>Preco_Litro</vt:lpstr>
      <vt:lpstr>Setor</vt:lpstr>
      <vt:lpstr>Status_Pagamento</vt:lpstr>
      <vt:lpstr>Veiculo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Henrique</cp:lastModifiedBy>
  <cp:revision>0</cp:revision>
  <dcterms:created xsi:type="dcterms:W3CDTF">2026-07-29T01:54:48Z</dcterms:created>
  <dcterms:modified xsi:type="dcterms:W3CDTF">2026-08-01T02:36:51Z</dcterms:modified>
  <cp:category/>
  <cp:contentStatus/>
</cp:coreProperties>
</file>