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2d4294ae10ed188/Estudos/Excel/modulo-03-datas/"/>
    </mc:Choice>
  </mc:AlternateContent>
  <xr:revisionPtr revIDLastSave="16" documentId="11_F1DF8CB9897F94B0CB8A96FB4F06AD7264B6A633" xr6:coauthVersionLast="47" xr6:coauthVersionMax="47" xr10:uidLastSave="{49F6B11B-E110-4738-87AA-24C1CAA302C0}"/>
  <bookViews>
    <workbookView xWindow="-105" yWindow="0" windowWidth="19410" windowHeight="15585" tabRatio="500" xr2:uid="{00000000-000D-0000-FFFF-FFFF00000000}"/>
  </bookViews>
  <sheets>
    <sheet name="Notas_Fiscais" sheetId="1" r:id="rId1"/>
  </sheets>
  <definedNames>
    <definedName name="Data_Emissao">Notas_Fiscais[Data_Emissao]</definedName>
    <definedName name="Data_Fechamento_Mes">Notas_Fiscais[Data_Fechamento_Mes]</definedName>
    <definedName name="Data_Vencimento">Notas_Fiscais[Data_Vencimento]</definedName>
    <definedName name="Fornecedor">Notas_Fiscais[Fornecedor]</definedName>
    <definedName name="ID_Nota">Notas_Fiscais[ID_Nota]</definedName>
    <definedName name="Valor">Notas_Fiscais[Valor]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E2" i="1"/>
  <c r="E3" i="1"/>
  <c r="E4" i="1"/>
  <c r="E5" i="1"/>
  <c r="E6" i="1"/>
  <c r="E7" i="1"/>
  <c r="E8" i="1"/>
  <c r="E9" i="1"/>
  <c r="E10" i="1"/>
  <c r="E11" i="1"/>
  <c r="E12" i="1"/>
  <c r="E13" i="1"/>
</calcChain>
</file>

<file path=xl/sharedStrings.xml><?xml version="1.0" encoding="utf-8"?>
<sst xmlns="http://schemas.openxmlformats.org/spreadsheetml/2006/main" count="30" uniqueCount="28">
  <si>
    <t>ID_Nota</t>
  </si>
  <si>
    <t>Fornecedor</t>
  </si>
  <si>
    <t>Data_Emissao</t>
  </si>
  <si>
    <t>Valor</t>
  </si>
  <si>
    <t>Data_Fechamento_Mes</t>
  </si>
  <si>
    <t>Data_Vencimento</t>
  </si>
  <si>
    <t>NF701</t>
  </si>
  <si>
    <t>Aços do Brasil</t>
  </si>
  <si>
    <t>NF702</t>
  </si>
  <si>
    <t>Solda Forte Ltda</t>
  </si>
  <si>
    <t>NF703</t>
  </si>
  <si>
    <t>EPI Segurança SA</t>
  </si>
  <si>
    <t>NF704</t>
  </si>
  <si>
    <t>Elétrica Nuclear Ltda</t>
  </si>
  <si>
    <t>NF705</t>
  </si>
  <si>
    <t>Ferramentas Tec</t>
  </si>
  <si>
    <t>NF706</t>
  </si>
  <si>
    <t>Válvulas &amp; Cia</t>
  </si>
  <si>
    <t>NF707</t>
  </si>
  <si>
    <t>Rolamentos Industrial</t>
  </si>
  <si>
    <t>NF708</t>
  </si>
  <si>
    <t>Metalúrgica Sul</t>
  </si>
  <si>
    <t>NF709</t>
  </si>
  <si>
    <t>Tintas Anticorrosivas SA</t>
  </si>
  <si>
    <t>NF710</t>
  </si>
  <si>
    <t>Isolamento Térmico Nacional</t>
  </si>
  <si>
    <t>NF711</t>
  </si>
  <si>
    <t>NF712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</si>
</sst>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/>
    <xf numFmtId="14" fontId="2" fillId="0" borderId="1" xfId="0" applyNumberFormat="1" applyFont="1" applyBorder="1"/>
    <xf numFmtId="4" fontId="2" fillId="0" borderId="1" xfId="0" applyNumberFormat="1" applyFont="1" applyBorder="1"/>
    <xf numFmtId="0" fontId="2" fillId="0" borderId="2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14" fontId="2" fillId="0" borderId="8" xfId="0" applyNumberFormat="1" applyFont="1" applyBorder="1"/>
    <xf numFmtId="4" fontId="2" fillId="0" borderId="8" xfId="0" applyNumberFormat="1" applyFont="1" applyBorder="1"/>
    <xf numFmtId="14" fontId="3" fillId="0" borderId="1" xfId="0" applyNumberFormat="1" applyFont="1" applyBorder="1"/>
    <xf numFmtId="14" fontId="3" fillId="0" borderId="8" xfId="0" applyNumberFormat="1" applyFont="1" applyBorder="1"/>
    <xf numFmtId="14" fontId="3" fillId="0" borderId="3" xfId="0" applyNumberFormat="1" applyFont="1" applyBorder="1"/>
    <xf numFmtId="14" fontId="3" fillId="0" borderId="9" xfId="0" applyNumberFormat="1" applyFont="1" applyBorder="1"/>
  </cellXfs>
  <cellStyles count="1">
    <cellStyle name="Normal" xfId="0" builtinId="0"/>
  </cellStyles>
  <dxfs count="10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9" formatCode="dd/mm/yyyy"/>
      <border diagonalUp="0" diagonalDown="0" outline="0">
        <left style="thin">
          <color rgb="FFB7B7B7"/>
        </left>
        <right/>
        <top style="thin">
          <color rgb="FFB7B7B7"/>
        </top>
        <bottom style="thin">
          <color rgb="FFB7B7B7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9" formatCode="dd/mm/yyyy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4" formatCode="#,##0.0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numFmt numFmtId="19" formatCode="dd/mm/yyyy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985119-593F-48C0-8D9F-8069F7174C15}" name="Notas_Fiscais" displayName="Notas_Fiscais" ref="A1:F13" totalsRowShown="0" headerRowDxfId="3" headerRowBorderDxfId="8" tableBorderDxfId="9" totalsRowBorderDxfId="7">
  <autoFilter ref="A1:F13" xr:uid="{E6985119-593F-48C0-8D9F-8069F7174C15}"/>
  <tableColumns count="6">
    <tableColumn id="1" xr3:uid="{607F76F1-30EF-4B20-8175-1A9C4C02A752}" name="ID_Nota" dataDxfId="6"/>
    <tableColumn id="2" xr3:uid="{0B01E0B7-51AD-445E-9E95-3B00E0D4475A}" name="Fornecedor" dataDxfId="5"/>
    <tableColumn id="3" xr3:uid="{93E6FF87-5015-428A-934F-BDF7E7A5E27D}" name="Data_Emissao" dataDxfId="4"/>
    <tableColumn id="4" xr3:uid="{36C91BEA-ED08-4EE8-B605-059A36356905}" name="Valor" dataDxfId="2"/>
    <tableColumn id="5" xr3:uid="{2E77855C-8E97-4A42-A5A9-841C707B4097}" name="Data_Fechamento_Mes" dataDxfId="1">
      <calculatedColumnFormula>EOMONTH(Notas_Fiscais[[#This Row],[Data_Emissao]],0)</calculatedColumnFormula>
    </tableColumn>
    <tableColumn id="6" xr3:uid="{2AC50042-9CD1-4763-A35E-8EF36D3D4216}" name="Data_Vencimento" dataDxfId="0">
      <calculatedColumnFormula>EOMONTH(Notas_Fiscais[[#This Row],[Data_Emissao]],1)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Normal="100" workbookViewId="0">
      <pane ySplit="1" topLeftCell="A2" activePane="bottomLeft" state="frozen"/>
      <selection pane="bottomLeft" activeCell="E2" sqref="E2"/>
    </sheetView>
  </sheetViews>
  <sheetFormatPr defaultColWidth="8.7109375" defaultRowHeight="15" x14ac:dyDescent="0.25"/>
  <cols>
    <col min="1" max="1" width="11.140625" customWidth="1"/>
    <col min="2" max="2" width="26" customWidth="1"/>
    <col min="3" max="3" width="17.28515625" customWidth="1"/>
    <col min="4" max="4" width="13" customWidth="1"/>
    <col min="5" max="5" width="26.7109375" customWidth="1"/>
    <col min="6" max="6" width="20.7109375" customWidth="1"/>
  </cols>
  <sheetData>
    <row r="1" spans="1:6" ht="30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x14ac:dyDescent="0.25">
      <c r="A2" s="4" t="s">
        <v>6</v>
      </c>
      <c r="B2" s="1" t="s">
        <v>7</v>
      </c>
      <c r="C2" s="2">
        <v>46030</v>
      </c>
      <c r="D2" s="3">
        <v>25010</v>
      </c>
      <c r="E2" s="12">
        <f>EOMONTH(Notas_Fiscais[[#This Row],[Data_Emissao]],0)</f>
        <v>46053</v>
      </c>
      <c r="F2" s="14">
        <f>EOMONTH(Notas_Fiscais[[#This Row],[Data_Emissao]],1)</f>
        <v>46081</v>
      </c>
    </row>
    <row r="3" spans="1:6" x14ac:dyDescent="0.25">
      <c r="A3" s="4" t="s">
        <v>8</v>
      </c>
      <c r="B3" s="1" t="s">
        <v>9</v>
      </c>
      <c r="C3" s="2">
        <v>46068</v>
      </c>
      <c r="D3" s="3">
        <v>17000</v>
      </c>
      <c r="E3" s="12">
        <f>EOMONTH(Notas_Fiscais[[#This Row],[Data_Emissao]],0)</f>
        <v>46081</v>
      </c>
      <c r="F3" s="14">
        <f>EOMONTH(Notas_Fiscais[[#This Row],[Data_Emissao]],1)</f>
        <v>46112</v>
      </c>
    </row>
    <row r="4" spans="1:6" x14ac:dyDescent="0.25">
      <c r="A4" s="4" t="s">
        <v>10</v>
      </c>
      <c r="B4" s="1" t="s">
        <v>11</v>
      </c>
      <c r="C4" s="2">
        <v>46081</v>
      </c>
      <c r="D4" s="3">
        <v>8990</v>
      </c>
      <c r="E4" s="12">
        <f>EOMONTH(Notas_Fiscais[[#This Row],[Data_Emissao]],0)</f>
        <v>46081</v>
      </c>
      <c r="F4" s="14">
        <f>EOMONTH(Notas_Fiscais[[#This Row],[Data_Emissao]],1)</f>
        <v>46112</v>
      </c>
    </row>
    <row r="5" spans="1:6" x14ac:dyDescent="0.25">
      <c r="A5" s="4" t="s">
        <v>12</v>
      </c>
      <c r="B5" s="1" t="s">
        <v>13</v>
      </c>
      <c r="C5" s="2">
        <v>46084</v>
      </c>
      <c r="D5" s="3">
        <v>42500</v>
      </c>
      <c r="E5" s="12">
        <f>EOMONTH(Notas_Fiscais[[#This Row],[Data_Emissao]],0)</f>
        <v>46112</v>
      </c>
      <c r="F5" s="14">
        <f>EOMONTH(Notas_Fiscais[[#This Row],[Data_Emissao]],1)</f>
        <v>46142</v>
      </c>
    </row>
    <row r="6" spans="1:6" x14ac:dyDescent="0.25">
      <c r="A6" s="4" t="s">
        <v>14</v>
      </c>
      <c r="B6" s="1" t="s">
        <v>15</v>
      </c>
      <c r="C6" s="2">
        <v>46112</v>
      </c>
      <c r="D6" s="3">
        <v>4482.3999999999996</v>
      </c>
      <c r="E6" s="12">
        <f>EOMONTH(Notas_Fiscais[[#This Row],[Data_Emissao]],0)</f>
        <v>46112</v>
      </c>
      <c r="F6" s="14">
        <f>EOMONTH(Notas_Fiscais[[#This Row],[Data_Emissao]],1)</f>
        <v>46142</v>
      </c>
    </row>
    <row r="7" spans="1:6" x14ac:dyDescent="0.25">
      <c r="A7" s="4" t="s">
        <v>16</v>
      </c>
      <c r="B7" s="1" t="s">
        <v>17</v>
      </c>
      <c r="C7" s="2">
        <v>46122</v>
      </c>
      <c r="D7" s="3">
        <v>6720</v>
      </c>
      <c r="E7" s="12">
        <f>EOMONTH(Notas_Fiscais[[#This Row],[Data_Emissao]],0)</f>
        <v>46142</v>
      </c>
      <c r="F7" s="14">
        <f>EOMONTH(Notas_Fiscais[[#This Row],[Data_Emissao]],1)</f>
        <v>46173</v>
      </c>
    </row>
    <row r="8" spans="1:6" x14ac:dyDescent="0.25">
      <c r="A8" s="4" t="s">
        <v>18</v>
      </c>
      <c r="B8" s="1" t="s">
        <v>19</v>
      </c>
      <c r="C8" s="2">
        <v>46134</v>
      </c>
      <c r="D8" s="3">
        <v>2862</v>
      </c>
      <c r="E8" s="12">
        <f>EOMONTH(Notas_Fiscais[[#This Row],[Data_Emissao]],0)</f>
        <v>46142</v>
      </c>
      <c r="F8" s="14">
        <f>EOMONTH(Notas_Fiscais[[#This Row],[Data_Emissao]],1)</f>
        <v>46173</v>
      </c>
    </row>
    <row r="9" spans="1:6" x14ac:dyDescent="0.25">
      <c r="A9" s="4" t="s">
        <v>20</v>
      </c>
      <c r="B9" s="1" t="s">
        <v>21</v>
      </c>
      <c r="C9" s="2">
        <v>46143</v>
      </c>
      <c r="D9" s="3">
        <v>19800.5</v>
      </c>
      <c r="E9" s="12">
        <f>EOMONTH(Notas_Fiscais[[#This Row],[Data_Emissao]],0)</f>
        <v>46173</v>
      </c>
      <c r="F9" s="14">
        <f>EOMONTH(Notas_Fiscais[[#This Row],[Data_Emissao]],1)</f>
        <v>46203</v>
      </c>
    </row>
    <row r="10" spans="1:6" x14ac:dyDescent="0.25">
      <c r="A10" s="4" t="s">
        <v>22</v>
      </c>
      <c r="B10" s="1" t="s">
        <v>23</v>
      </c>
      <c r="C10" s="2">
        <v>46161</v>
      </c>
      <c r="D10" s="3">
        <v>3280.75</v>
      </c>
      <c r="E10" s="12">
        <f>EOMONTH(Notas_Fiscais[[#This Row],[Data_Emissao]],0)</f>
        <v>46173</v>
      </c>
      <c r="F10" s="14">
        <f>EOMONTH(Notas_Fiscais[[#This Row],[Data_Emissao]],1)</f>
        <v>46203</v>
      </c>
    </row>
    <row r="11" spans="1:6" x14ac:dyDescent="0.25">
      <c r="A11" s="4" t="s">
        <v>24</v>
      </c>
      <c r="B11" s="1" t="s">
        <v>25</v>
      </c>
      <c r="C11" s="2">
        <v>46203</v>
      </c>
      <c r="D11" s="3">
        <v>5120</v>
      </c>
      <c r="E11" s="12">
        <f>EOMONTH(Notas_Fiscais[[#This Row],[Data_Emissao]],0)</f>
        <v>46203</v>
      </c>
      <c r="F11" s="14">
        <f>EOMONTH(Notas_Fiscais[[#This Row],[Data_Emissao]],1)</f>
        <v>46234</v>
      </c>
    </row>
    <row r="12" spans="1:6" x14ac:dyDescent="0.25">
      <c r="A12" s="4" t="s">
        <v>26</v>
      </c>
      <c r="B12" s="1" t="s">
        <v>7</v>
      </c>
      <c r="C12" s="2">
        <v>46210</v>
      </c>
      <c r="D12" s="3">
        <v>18750</v>
      </c>
      <c r="E12" s="12">
        <f>EOMONTH(Notas_Fiscais[[#This Row],[Data_Emissao]],0)</f>
        <v>46234</v>
      </c>
      <c r="F12" s="14">
        <f>EOMONTH(Notas_Fiscais[[#This Row],[Data_Emissao]],1)</f>
        <v>46265</v>
      </c>
    </row>
    <row r="13" spans="1:6" x14ac:dyDescent="0.25">
      <c r="A13" s="8" t="s">
        <v>27</v>
      </c>
      <c r="B13" s="9" t="s">
        <v>9</v>
      </c>
      <c r="C13" s="10">
        <v>46228</v>
      </c>
      <c r="D13" s="11">
        <v>10200</v>
      </c>
      <c r="E13" s="13">
        <f>EOMONTH(Notas_Fiscais[[#This Row],[Data_Emissao]],0)</f>
        <v>46234</v>
      </c>
      <c r="F13" s="15">
        <f>EOMONTH(Notas_Fiscais[[#This Row],[Data_Emissao]],1)</f>
        <v>46265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6</vt:i4>
      </vt:variant>
    </vt:vector>
  </HeadingPairs>
  <TitlesOfParts>
    <vt:vector size="7" baseType="lpstr">
      <vt:lpstr>Notas_Fiscais</vt:lpstr>
      <vt:lpstr>Data_Emissao</vt:lpstr>
      <vt:lpstr>Data_Fechamento_Mes</vt:lpstr>
      <vt:lpstr>Data_Vencimento</vt:lpstr>
      <vt:lpstr>Fornecedor</vt:lpstr>
      <vt:lpstr>ID_Nota</vt:lpstr>
      <vt:lpstr>Valor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Henrique</cp:lastModifiedBy>
  <cp:revision>0</cp:revision>
  <dcterms:created xsi:type="dcterms:W3CDTF">2026-09-20T11:34:10Z</dcterms:created>
  <dcterms:modified xsi:type="dcterms:W3CDTF">2026-09-21T15:00:39Z</dcterms:modified>
  <dc:language>en-US</dc:language>
</cp:coreProperties>
</file>