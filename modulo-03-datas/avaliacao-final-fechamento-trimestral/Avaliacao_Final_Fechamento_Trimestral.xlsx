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3-datas/"/>
    </mc:Choice>
  </mc:AlternateContent>
  <xr:revisionPtr revIDLastSave="42" documentId="11_62C3627A0B93AB22A9C5A35EDCFA4A9EE8A4B410" xr6:coauthVersionLast="47" xr6:coauthVersionMax="47" xr10:uidLastSave="{AB71A2C3-0EB6-4723-8967-617193C77768}"/>
  <bookViews>
    <workbookView xWindow="-120" yWindow="-120" windowWidth="38640" windowHeight="15720" xr2:uid="{00000000-000D-0000-FFFF-FFFF00000000}"/>
  </bookViews>
  <sheets>
    <sheet name="Notas_Fiscais" sheetId="1" r:id="rId1"/>
    <sheet name="Feriados" sheetId="2" r:id="rId2"/>
  </sheets>
  <definedNames>
    <definedName name="Anos_Em_Aberto">Notas_Fiscais[Anos_Em_Aberto]</definedName>
    <definedName name="Data_Aprovacao">Notas_Fiscais[Data_Aprovacao]</definedName>
    <definedName name="Data_Assinatura_Contrato">Notas_Fiscais[Data_Assinatura_Contrato]</definedName>
    <definedName name="Data_Base">Notas_Fiscais!$B$1</definedName>
    <definedName name="Data_Emissao">Notas_Fiscais[Data_Emissao]</definedName>
    <definedName name="Data_Fechamento_Mes">Notas_Fiscais[Data_Fechamento_Mes]</definedName>
    <definedName name="Data_Limite_Pagamento">Notas_Fiscais[Data_Limite_Pagamento]</definedName>
    <definedName name="Dias_Em_Aberto">Notas_Fiscais[Dias_Em_Aberto]</definedName>
    <definedName name="Dias_Uteis_Aprovacao">Notas_Fiscais[Dias_Uteis_Aprovacao]</definedName>
    <definedName name="Fornecedor">Notas_Fiscais[Fornecedor]</definedName>
    <definedName name="Meses_Em_Aberto">Notas_Fiscais[Meses_Em_Aberto]</definedName>
    <definedName name="Numero_NF">Notas_Fiscais[Numero_NF]</definedName>
    <definedName name="Periodicidade_Revisao_Meses">Notas_Fiscais[Periodicidade_Revisao_Meses]</definedName>
    <definedName name="Prazo_Pagamento_Dias_Uteis">Notas_Fiscais[Prazo_Pagamento_Dias_Uteis]</definedName>
    <definedName name="Proxima_Revisao_Contrato">Notas_Fiscais[Proxima_Revisao_Contrato]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I4" i="1"/>
  <c r="I5" i="1"/>
  <c r="I6" i="1"/>
  <c r="I7" i="1"/>
  <c r="I8" i="1"/>
  <c r="I9" i="1"/>
  <c r="I10" i="1"/>
  <c r="I11" i="1"/>
  <c r="N4" i="1"/>
  <c r="N5" i="1"/>
  <c r="N6" i="1"/>
  <c r="N7" i="1"/>
  <c r="N8" i="1"/>
  <c r="N9" i="1"/>
  <c r="N10" i="1"/>
  <c r="N11" i="1"/>
  <c r="M4" i="1"/>
  <c r="M5" i="1"/>
  <c r="M6" i="1"/>
  <c r="M7" i="1"/>
  <c r="M8" i="1"/>
  <c r="M9" i="1"/>
  <c r="M10" i="1"/>
  <c r="M11" i="1"/>
  <c r="L4" i="1"/>
  <c r="L5" i="1"/>
  <c r="L6" i="1"/>
  <c r="L7" i="1"/>
  <c r="L8" i="1"/>
  <c r="L9" i="1"/>
  <c r="L10" i="1"/>
  <c r="L11" i="1"/>
  <c r="K4" i="1"/>
  <c r="K5" i="1"/>
  <c r="K6" i="1"/>
  <c r="K7" i="1"/>
  <c r="K8" i="1"/>
  <c r="K9" i="1"/>
  <c r="K10" i="1"/>
  <c r="K11" i="1"/>
  <c r="H4" i="1"/>
  <c r="H5" i="1"/>
  <c r="H6" i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<sst xmlns="http://schemas.openxmlformats.org/spreadsheetml/2006/main" count="38" uniqueCount="38">
  <si>
    <t>Data de corte do relatório (Data_Base):</t>
  </si>
  <si>
    <t>Numero_NF</t>
  </si>
  <si>
    <t>Fornecedor</t>
  </si>
  <si>
    <t>Data_Emissao</t>
  </si>
  <si>
    <t>Data_Aprovacao</t>
  </si>
  <si>
    <t>Data_Assinatura_Contrato</t>
  </si>
  <si>
    <t>Periodicidade_Revisao_Meses</t>
  </si>
  <si>
    <t>Prazo_Pagamento_Dias_Uteis</t>
  </si>
  <si>
    <t>Anos_Em_Aberto</t>
  </si>
  <si>
    <t>Meses_Em_Aberto</t>
  </si>
  <si>
    <t>Dias_Em_Aberto</t>
  </si>
  <si>
    <t>Dias_Uteis_Aprovacao</t>
  </si>
  <si>
    <t>Data_Fechamento_Mes</t>
  </si>
  <si>
    <t>Data_Limite_Pagamento</t>
  </si>
  <si>
    <t>Proxima_Revisao_Contrato</t>
  </si>
  <si>
    <t>NF-2026-05601</t>
  </si>
  <si>
    <t>Metalúrgica Rio Ferro Ltda</t>
  </si>
  <si>
    <t>NF-2026-05602</t>
  </si>
  <si>
    <t>Hidráulica Guanabara S.A.</t>
  </si>
  <si>
    <t>NF-2026-05603</t>
  </si>
  <si>
    <t>TechSolda Industrial Ltda</t>
  </si>
  <si>
    <t>NF-2026-05604</t>
  </si>
  <si>
    <t>Componentes Pesados Guanabara Ltda</t>
  </si>
  <si>
    <t>NF-2026-05605</t>
  </si>
  <si>
    <t>Usinagem Sepetiba Ltda</t>
  </si>
  <si>
    <t>NF-2026-05606</t>
  </si>
  <si>
    <t>Fundição Atlântica S.A.</t>
  </si>
  <si>
    <t>NF-2026-05607</t>
  </si>
  <si>
    <t>Estruturas Metálicas Niterói Ltda</t>
  </si>
  <si>
    <t>NF-2026-05608</t>
  </si>
  <si>
    <t>Precision Aço Ltda</t>
  </si>
  <si>
    <t>Data</t>
  </si>
  <si>
    <t>Feriado</t>
  </si>
  <si>
    <t>Nossa Senhora Aparecida</t>
  </si>
  <si>
    <t>Finados</t>
  </si>
  <si>
    <t>Proclamação da República</t>
  </si>
  <si>
    <t>Consciência Negra</t>
  </si>
  <si>
    <t>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</si>
</sst>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  <font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2" borderId="0" xfId="0" applyFont="1" applyFill="1"/>
    <xf numFmtId="0" fontId="2" fillId="0" borderId="0" xfId="0" applyFont="1"/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65BF62-9DF6-4A70-A03C-533C13A799EE}" name="Notas_Fiscais" displayName="Notas_Fiscais" ref="A3:N11" totalsRowShown="0" headerRowDxfId="18" dataDxfId="17">
  <autoFilter ref="A3:N11" xr:uid="{0365BF62-9DF6-4A70-A03C-533C13A799EE}"/>
  <tableColumns count="14">
    <tableColumn id="1" xr3:uid="{37393A90-D1F6-4B6C-815E-083CD98DAF67}" name="Numero_NF" dataDxfId="16"/>
    <tableColumn id="2" xr3:uid="{1041427B-4B21-48BF-B09D-B37E617D9FE5}" name="Fornecedor" dataDxfId="15"/>
    <tableColumn id="3" xr3:uid="{1B5B1EC3-E813-4DC1-B57E-8E46212F2016}" name="Data_Emissao" dataDxfId="14"/>
    <tableColumn id="4" xr3:uid="{CDA38A4F-681F-43CA-B56D-132DB9A2C41B}" name="Data_Aprovacao" dataDxfId="13"/>
    <tableColumn id="5" xr3:uid="{FAF4CDDE-BAA5-4CB1-B2C1-EB426B3F581D}" name="Data_Assinatura_Contrato" dataDxfId="12"/>
    <tableColumn id="6" xr3:uid="{7B557EA6-8584-41BA-A635-72BD2A719C5D}" name="Periodicidade_Revisao_Meses" dataDxfId="11"/>
    <tableColumn id="7" xr3:uid="{72B1D212-CA70-4979-82BB-45B5401FB243}" name="Prazo_Pagamento_Dias_Uteis" dataDxfId="10"/>
    <tableColumn id="8" xr3:uid="{BC55B158-7E26-4CCE-9F36-874F9ED248C0}" name="Anos_Em_Aberto" dataDxfId="9">
      <calculatedColumnFormula>DATEDIF(Notas_Fiscais[[#This Row],[Data_Emissao]], Data_Base, "y")</calculatedColumnFormula>
    </tableColumn>
    <tableColumn id="9" xr3:uid="{1C1F3B17-697D-4E7A-9D66-8B3236EAE4B2}" name="Meses_Em_Aberto" dataDxfId="1">
      <calculatedColumnFormula>DATEDIF(Notas_Fiscais[[#This Row],[Data_Emissao]], Data_Base, "ym")</calculatedColumnFormula>
    </tableColumn>
    <tableColumn id="10" xr3:uid="{00B3EF07-015F-46D4-A538-A2E141C76E7C}" name="Dias_Em_Aberto" dataDxfId="0">
      <calculatedColumnFormula>DATEDIF(Notas_Fiscais[[#This Row],[Data_Emissao]], Data_Base, "md")</calculatedColumnFormula>
    </tableColumn>
    <tableColumn id="11" xr3:uid="{6284075D-8868-438F-8A0D-DF081E0DDACF}" name="Dias_Uteis_Aprovacao" dataDxfId="8">
      <calculatedColumnFormula>NETWORKDAYS(Notas_Fiscais[[#This Row],[Data_Emissao]],Notas_Fiscais[[#This Row],[Data_Aprovacao]],Feriados[Data])</calculatedColumnFormula>
    </tableColumn>
    <tableColumn id="12" xr3:uid="{1C98B0AD-7210-4B1A-BBB3-5320E83BCB3D}" name="Data_Fechamento_Mes" dataDxfId="7">
      <calculatedColumnFormula>EOMONTH(Notas_Fiscais[[#This Row],[Data_Emissao]],0)</calculatedColumnFormula>
    </tableColumn>
    <tableColumn id="13" xr3:uid="{EB306E71-5FC0-4C0B-B5A2-B4683CB412F4}" name="Data_Limite_Pagamento" dataDxfId="6">
      <calculatedColumnFormula>WORKDAY(Notas_Fiscais[[#This Row],[Data_Aprovacao]],Notas_Fiscais[[#This Row],[Prazo_Pagamento_Dias_Uteis]], Feriados[Data])</calculatedColumnFormula>
    </tableColumn>
    <tableColumn id="14" xr3:uid="{30F428B3-ADAF-4DEC-AD3A-028D8377AF5A}" name="Proxima_Revisao_Contrato" dataDxfId="5">
      <calculatedColumnFormula>EDATE(Notas_Fiscais[[#This Row],[Data_Assinatura_Contrato]],Notas_Fiscais[[#This Row],[Periodicidade_Revisao_Meses]])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A08549-06A4-40E9-A46C-4B8B3F5E7DED}" name="Feriados" displayName="Feriados" ref="A1:B6" totalsRowShown="0" headerRowDxfId="4">
  <autoFilter ref="A1:B6" xr:uid="{D9A08549-06A4-40E9-A46C-4B8B3F5E7DED}"/>
  <tableColumns count="2">
    <tableColumn id="1" xr3:uid="{ED4103CF-0AF5-4E12-A76D-2CD8EE5BD625}" name="Data" dataDxfId="3"/>
    <tableColumn id="2" xr3:uid="{5EA19B5C-5FC9-4990-BA66-46093D54590D}" name="Feriado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pane ySplit="3" topLeftCell="A4" activePane="bottomLeft" state="frozen"/>
      <selection pane="bottomLeft" activeCell="J5" sqref="J5"/>
    </sheetView>
  </sheetViews>
  <sheetFormatPr defaultRowHeight="15" x14ac:dyDescent="0.25"/>
  <cols>
    <col min="1" max="1" width="16" customWidth="1"/>
    <col min="2" max="2" width="34" customWidth="1"/>
    <col min="3" max="3" width="17.28515625" customWidth="1"/>
    <col min="4" max="4" width="19.5703125" customWidth="1"/>
    <col min="5" max="5" width="29.42578125" customWidth="1"/>
    <col min="6" max="6" width="34.42578125" customWidth="1"/>
    <col min="7" max="7" width="33.42578125" customWidth="1"/>
    <col min="8" max="8" width="20.28515625" customWidth="1"/>
    <col min="9" max="9" width="22" customWidth="1"/>
    <col min="10" max="10" width="19.7109375" customWidth="1"/>
    <col min="11" max="11" width="25.85546875" customWidth="1"/>
    <col min="12" max="12" width="26.7109375" customWidth="1"/>
    <col min="13" max="13" width="27.42578125" customWidth="1"/>
    <col min="14" max="14" width="30.7109375" customWidth="1"/>
  </cols>
  <sheetData>
    <row r="1" spans="1:14" x14ac:dyDescent="0.25">
      <c r="A1" s="1" t="s">
        <v>0</v>
      </c>
      <c r="B1" s="2">
        <v>46295</v>
      </c>
    </row>
    <row r="3" spans="1:14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x14ac:dyDescent="0.25">
      <c r="A4" s="4" t="s">
        <v>15</v>
      </c>
      <c r="B4" s="4" t="s">
        <v>16</v>
      </c>
      <c r="C4" s="2">
        <v>46027</v>
      </c>
      <c r="D4" s="2">
        <v>46042</v>
      </c>
      <c r="E4" s="2">
        <v>45672</v>
      </c>
      <c r="F4" s="4">
        <v>12</v>
      </c>
      <c r="G4" s="4">
        <v>15</v>
      </c>
      <c r="H4" s="4">
        <f>DATEDIF(Notas_Fiscais[[#This Row],[Data_Emissao]], Data_Base, "y")</f>
        <v>0</v>
      </c>
      <c r="I4" s="4">
        <f>DATEDIF(Notas_Fiscais[[#This Row],[Data_Emissao]], Data_Base, "ym")</f>
        <v>8</v>
      </c>
      <c r="J4" s="4">
        <f>DATEDIF(Notas_Fiscais[[#This Row],[Data_Emissao]], Data_Base, "md")</f>
        <v>25</v>
      </c>
      <c r="K4" s="4">
        <f>NETWORKDAYS(Notas_Fiscais[[#This Row],[Data_Emissao]],Notas_Fiscais[[#This Row],[Data_Aprovacao]],Feriados[Data])</f>
        <v>12</v>
      </c>
      <c r="L4" s="2">
        <f>EOMONTH(Notas_Fiscais[[#This Row],[Data_Emissao]],0)</f>
        <v>46053</v>
      </c>
      <c r="M4" s="2">
        <f>WORKDAY(Notas_Fiscais[[#This Row],[Data_Aprovacao]],Notas_Fiscais[[#This Row],[Prazo_Pagamento_Dias_Uteis]], Feriados[Data])</f>
        <v>46063</v>
      </c>
      <c r="N4" s="2">
        <f>EDATE(Notas_Fiscais[[#This Row],[Data_Assinatura_Contrato]],Notas_Fiscais[[#This Row],[Periodicidade_Revisao_Meses]])</f>
        <v>46037</v>
      </c>
    </row>
    <row r="5" spans="1:14" x14ac:dyDescent="0.25">
      <c r="A5" s="4" t="s">
        <v>17</v>
      </c>
      <c r="B5" s="4" t="s">
        <v>18</v>
      </c>
      <c r="C5" s="2">
        <v>46065</v>
      </c>
      <c r="D5" s="2">
        <v>46083</v>
      </c>
      <c r="E5" s="2">
        <v>46091</v>
      </c>
      <c r="F5" s="4">
        <v>3</v>
      </c>
      <c r="G5" s="4">
        <v>10</v>
      </c>
      <c r="H5" s="4">
        <f>DATEDIF(Notas_Fiscais[[#This Row],[Data_Emissao]], Data_Base, "y")</f>
        <v>0</v>
      </c>
      <c r="I5" s="4">
        <f>DATEDIF(Notas_Fiscais[[#This Row],[Data_Emissao]], Data_Base, "ym")</f>
        <v>7</v>
      </c>
      <c r="J5" s="6">
        <f>DATEDIF(Notas_Fiscais[[#This Row],[Data_Emissao]], Data_Base, "md")</f>
        <v>18</v>
      </c>
      <c r="K5" s="4">
        <f>NETWORKDAYS(Notas_Fiscais[[#This Row],[Data_Emissao]],Notas_Fiscais[[#This Row],[Data_Aprovacao]],Feriados[Data])</f>
        <v>13</v>
      </c>
      <c r="L5" s="2">
        <f>EOMONTH(Notas_Fiscais[[#This Row],[Data_Emissao]],0)</f>
        <v>46081</v>
      </c>
      <c r="M5" s="2">
        <f>WORKDAY(Notas_Fiscais[[#This Row],[Data_Aprovacao]],Notas_Fiscais[[#This Row],[Prazo_Pagamento_Dias_Uteis]], Feriados[Data])</f>
        <v>46097</v>
      </c>
      <c r="N5" s="5">
        <f>EDATE(Notas_Fiscais[[#This Row],[Data_Assinatura_Contrato]],Notas_Fiscais[[#This Row],[Periodicidade_Revisao_Meses]])</f>
        <v>46183</v>
      </c>
    </row>
    <row r="6" spans="1:14" x14ac:dyDescent="0.25">
      <c r="A6" s="4" t="s">
        <v>19</v>
      </c>
      <c r="B6" s="4" t="s">
        <v>20</v>
      </c>
      <c r="C6" s="2">
        <v>46142</v>
      </c>
      <c r="D6" s="2">
        <v>46147</v>
      </c>
      <c r="E6" s="2">
        <v>46134</v>
      </c>
      <c r="F6" s="4">
        <v>12</v>
      </c>
      <c r="G6" s="4">
        <v>20</v>
      </c>
      <c r="H6" s="4">
        <f>DATEDIF(Notas_Fiscais[[#This Row],[Data_Emissao]], Data_Base, "y")</f>
        <v>0</v>
      </c>
      <c r="I6" s="4">
        <f>DATEDIF(Notas_Fiscais[[#This Row],[Data_Emissao]], Data_Base, "ym")</f>
        <v>5</v>
      </c>
      <c r="J6" s="4">
        <f>DATEDIF(Notas_Fiscais[[#This Row],[Data_Emissao]], Data_Base, "md")</f>
        <v>0</v>
      </c>
      <c r="K6" s="4">
        <f>NETWORKDAYS(Notas_Fiscais[[#This Row],[Data_Emissao]],Notas_Fiscais[[#This Row],[Data_Aprovacao]],Feriados[Data])</f>
        <v>4</v>
      </c>
      <c r="L6" s="2">
        <f>EOMONTH(Notas_Fiscais[[#This Row],[Data_Emissao]],0)</f>
        <v>46142</v>
      </c>
      <c r="M6" s="2">
        <f>WORKDAY(Notas_Fiscais[[#This Row],[Data_Aprovacao]],Notas_Fiscais[[#This Row],[Prazo_Pagamento_Dias_Uteis]], Feriados[Data])</f>
        <v>46175</v>
      </c>
      <c r="N6" s="2">
        <f>EDATE(Notas_Fiscais[[#This Row],[Data_Assinatura_Contrato]],Notas_Fiscais[[#This Row],[Periodicidade_Revisao_Meses]])</f>
        <v>46499</v>
      </c>
    </row>
    <row r="7" spans="1:14" x14ac:dyDescent="0.25">
      <c r="A7" s="4" t="s">
        <v>21</v>
      </c>
      <c r="B7" s="4" t="s">
        <v>22</v>
      </c>
      <c r="C7" s="2">
        <v>46265</v>
      </c>
      <c r="D7" s="2">
        <v>46280</v>
      </c>
      <c r="E7" s="2">
        <v>46265</v>
      </c>
      <c r="F7" s="4">
        <v>6</v>
      </c>
      <c r="G7" s="4">
        <v>30</v>
      </c>
      <c r="H7" s="4">
        <f>DATEDIF(Notas_Fiscais[[#This Row],[Data_Emissao]], Data_Base, "y")</f>
        <v>0</v>
      </c>
      <c r="I7" s="4">
        <f>DATEDIF(Notas_Fiscais[[#This Row],[Data_Emissao]], Data_Base, "ym")</f>
        <v>0</v>
      </c>
      <c r="J7" s="4">
        <f>DATEDIF(Notas_Fiscais[[#This Row],[Data_Emissao]], Data_Base, "md")</f>
        <v>30</v>
      </c>
      <c r="K7" s="4">
        <f>NETWORKDAYS(Notas_Fiscais[[#This Row],[Data_Emissao]],Notas_Fiscais[[#This Row],[Data_Aprovacao]],Feriados[Data])</f>
        <v>12</v>
      </c>
      <c r="L7" s="2">
        <f>EOMONTH(Notas_Fiscais[[#This Row],[Data_Emissao]],0)</f>
        <v>46265</v>
      </c>
      <c r="M7" s="2">
        <f>WORKDAY(Notas_Fiscais[[#This Row],[Data_Aprovacao]],Notas_Fiscais[[#This Row],[Prazo_Pagamento_Dias_Uteis]], Feriados[Data])</f>
        <v>46323</v>
      </c>
      <c r="N7" s="2">
        <f>EDATE(Notas_Fiscais[[#This Row],[Data_Assinatura_Contrato]],Notas_Fiscais[[#This Row],[Periodicidade_Revisao_Meses]])</f>
        <v>46446</v>
      </c>
    </row>
    <row r="8" spans="1:14" x14ac:dyDescent="0.25">
      <c r="A8" s="4" t="s">
        <v>23</v>
      </c>
      <c r="B8" s="4" t="s">
        <v>24</v>
      </c>
      <c r="C8" s="2">
        <v>46058</v>
      </c>
      <c r="D8" s="2">
        <v>46073</v>
      </c>
      <c r="E8" s="2">
        <v>46058</v>
      </c>
      <c r="F8" s="4">
        <v>4</v>
      </c>
      <c r="G8" s="4">
        <v>10</v>
      </c>
      <c r="H8" s="4">
        <f>DATEDIF(Notas_Fiscais[[#This Row],[Data_Emissao]], Data_Base, "y")</f>
        <v>0</v>
      </c>
      <c r="I8" s="4">
        <f>DATEDIF(Notas_Fiscais[[#This Row],[Data_Emissao]], Data_Base, "ym")</f>
        <v>7</v>
      </c>
      <c r="J8" s="4">
        <f>DATEDIF(Notas_Fiscais[[#This Row],[Data_Emissao]], Data_Base, "md")</f>
        <v>25</v>
      </c>
      <c r="K8" s="4">
        <f>NETWORKDAYS(Notas_Fiscais[[#This Row],[Data_Emissao]],Notas_Fiscais[[#This Row],[Data_Aprovacao]],Feriados[Data])</f>
        <v>12</v>
      </c>
      <c r="L8" s="2">
        <f>EOMONTH(Notas_Fiscais[[#This Row],[Data_Emissao]],0)</f>
        <v>46081</v>
      </c>
      <c r="M8" s="2">
        <f>WORKDAY(Notas_Fiscais[[#This Row],[Data_Aprovacao]],Notas_Fiscais[[#This Row],[Prazo_Pagamento_Dias_Uteis]], Feriados[Data])</f>
        <v>46087</v>
      </c>
      <c r="N8" s="2">
        <f>EDATE(Notas_Fiscais[[#This Row],[Data_Assinatura_Contrato]],Notas_Fiscais[[#This Row],[Periodicidade_Revisao_Meses]])</f>
        <v>46178</v>
      </c>
    </row>
    <row r="9" spans="1:14" x14ac:dyDescent="0.25">
      <c r="A9" s="4" t="s">
        <v>25</v>
      </c>
      <c r="B9" s="4" t="s">
        <v>26</v>
      </c>
      <c r="C9" s="2">
        <v>46191</v>
      </c>
      <c r="D9" s="2">
        <v>46213</v>
      </c>
      <c r="E9" s="2">
        <v>46191</v>
      </c>
      <c r="F9" s="4">
        <v>6</v>
      </c>
      <c r="G9" s="4">
        <v>15</v>
      </c>
      <c r="H9" s="4">
        <f>DATEDIF(Notas_Fiscais[[#This Row],[Data_Emissao]], Data_Base, "y")</f>
        <v>0</v>
      </c>
      <c r="I9" s="4">
        <f>DATEDIF(Notas_Fiscais[[#This Row],[Data_Emissao]], Data_Base, "ym")</f>
        <v>3</v>
      </c>
      <c r="J9" s="4">
        <f>DATEDIF(Notas_Fiscais[[#This Row],[Data_Emissao]], Data_Base, "md")</f>
        <v>12</v>
      </c>
      <c r="K9" s="4">
        <f>NETWORKDAYS(Notas_Fiscais[[#This Row],[Data_Emissao]],Notas_Fiscais[[#This Row],[Data_Aprovacao]],Feriados[Data])</f>
        <v>17</v>
      </c>
      <c r="L9" s="2">
        <f>EOMONTH(Notas_Fiscais[[#This Row],[Data_Emissao]],0)</f>
        <v>46203</v>
      </c>
      <c r="M9" s="2">
        <f>WORKDAY(Notas_Fiscais[[#This Row],[Data_Aprovacao]],Notas_Fiscais[[#This Row],[Prazo_Pagamento_Dias_Uteis]], Feriados[Data])</f>
        <v>46234</v>
      </c>
      <c r="N9" s="2">
        <f>EDATE(Notas_Fiscais[[#This Row],[Data_Assinatura_Contrato]],Notas_Fiscais[[#This Row],[Periodicidade_Revisao_Meses]])</f>
        <v>46374</v>
      </c>
    </row>
    <row r="10" spans="1:14" x14ac:dyDescent="0.25">
      <c r="A10" s="4" t="s">
        <v>27</v>
      </c>
      <c r="B10" s="4" t="s">
        <v>28</v>
      </c>
      <c r="C10" s="2">
        <v>46080</v>
      </c>
      <c r="D10" s="2">
        <v>46096</v>
      </c>
      <c r="E10" s="2">
        <v>46080</v>
      </c>
      <c r="F10" s="4">
        <v>12</v>
      </c>
      <c r="G10" s="4">
        <v>20</v>
      </c>
      <c r="H10" s="4">
        <f>DATEDIF(Notas_Fiscais[[#This Row],[Data_Emissao]], Data_Base, "y")</f>
        <v>0</v>
      </c>
      <c r="I10" s="4">
        <f>DATEDIF(Notas_Fiscais[[#This Row],[Data_Emissao]], Data_Base, "ym")</f>
        <v>7</v>
      </c>
      <c r="J10" s="4">
        <f>DATEDIF(Notas_Fiscais[[#This Row],[Data_Emissao]], Data_Base, "md")</f>
        <v>3</v>
      </c>
      <c r="K10" s="4">
        <f>NETWORKDAYS(Notas_Fiscais[[#This Row],[Data_Emissao]],Notas_Fiscais[[#This Row],[Data_Aprovacao]],Feriados[Data])</f>
        <v>11</v>
      </c>
      <c r="L10" s="2">
        <f>EOMONTH(Notas_Fiscais[[#This Row],[Data_Emissao]],0)</f>
        <v>46081</v>
      </c>
      <c r="M10" s="2">
        <f>WORKDAY(Notas_Fiscais[[#This Row],[Data_Aprovacao]],Notas_Fiscais[[#This Row],[Prazo_Pagamento_Dias_Uteis]], Feriados[Data])</f>
        <v>46122</v>
      </c>
      <c r="N10" s="2">
        <f>EDATE(Notas_Fiscais[[#This Row],[Data_Assinatura_Contrato]],Notas_Fiscais[[#This Row],[Periodicidade_Revisao_Meses]])</f>
        <v>46445</v>
      </c>
    </row>
    <row r="11" spans="1:14" x14ac:dyDescent="0.25">
      <c r="A11" s="4" t="s">
        <v>29</v>
      </c>
      <c r="B11" s="4" t="s">
        <v>30</v>
      </c>
      <c r="C11" s="2">
        <v>46173</v>
      </c>
      <c r="D11" s="2">
        <v>46193</v>
      </c>
      <c r="E11" s="2">
        <v>46173</v>
      </c>
      <c r="F11" s="4">
        <v>9</v>
      </c>
      <c r="G11" s="4">
        <v>30</v>
      </c>
      <c r="H11" s="4">
        <f>DATEDIF(Notas_Fiscais[[#This Row],[Data_Emissao]], Data_Base, "y")</f>
        <v>0</v>
      </c>
      <c r="I11" s="4">
        <f>DATEDIF(Notas_Fiscais[[#This Row],[Data_Emissao]], Data_Base, "ym")</f>
        <v>3</v>
      </c>
      <c r="J11" s="4">
        <f>DATEDIF(Notas_Fiscais[[#This Row],[Data_Emissao]], Data_Base, "md")</f>
        <v>30</v>
      </c>
      <c r="K11" s="4">
        <f>NETWORKDAYS(Notas_Fiscais[[#This Row],[Data_Emissao]],Notas_Fiscais[[#This Row],[Data_Aprovacao]],Feriados[Data])</f>
        <v>15</v>
      </c>
      <c r="L11" s="2">
        <f>EOMONTH(Notas_Fiscais[[#This Row],[Data_Emissao]],0)</f>
        <v>46173</v>
      </c>
      <c r="M11" s="2">
        <f>WORKDAY(Notas_Fiscais[[#This Row],[Data_Aprovacao]],Notas_Fiscais[[#This Row],[Prazo_Pagamento_Dias_Uteis]], Feriados[Data])</f>
        <v>46234</v>
      </c>
      <c r="N11" s="2">
        <f>EDATE(Notas_Fiscais[[#This Row],[Data_Assinatura_Contrato]],Notas_Fiscais[[#This Row],[Periodicidade_Revisao_Meses]])</f>
        <v>46446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 sqref="A1:B6"/>
    </sheetView>
  </sheetViews>
  <sheetFormatPr defaultRowHeight="15" x14ac:dyDescent="0.25"/>
  <cols>
    <col min="1" max="1" width="14" customWidth="1"/>
    <col min="2" max="2" width="28" customWidth="1"/>
  </cols>
  <sheetData>
    <row r="1" spans="1:2" x14ac:dyDescent="0.25">
      <c r="A1" s="3" t="s">
        <v>31</v>
      </c>
      <c r="B1" s="3" t="s">
        <v>32</v>
      </c>
    </row>
    <row r="2" spans="1:2" x14ac:dyDescent="0.25">
      <c r="A2" s="2">
        <v>46307</v>
      </c>
      <c r="B2" s="4" t="s">
        <v>33</v>
      </c>
    </row>
    <row r="3" spans="1:2" x14ac:dyDescent="0.25">
      <c r="A3" s="2">
        <v>46328</v>
      </c>
      <c r="B3" s="4" t="s">
        <v>34</v>
      </c>
    </row>
    <row r="4" spans="1:2" x14ac:dyDescent="0.25">
      <c r="A4" s="2">
        <v>46341</v>
      </c>
      <c r="B4" s="4" t="s">
        <v>35</v>
      </c>
    </row>
    <row r="5" spans="1:2" x14ac:dyDescent="0.25">
      <c r="A5" s="2">
        <v>46346</v>
      </c>
      <c r="B5" s="4" t="s">
        <v>36</v>
      </c>
    </row>
    <row r="6" spans="1:2" x14ac:dyDescent="0.25">
      <c r="A6" s="2">
        <v>46381</v>
      </c>
      <c r="B6" s="4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15</vt:i4>
      </vt:variant>
    </vt:vector>
  </HeadingPairs>
  <TitlesOfParts>
    <vt:vector size="17" baseType="lpstr">
      <vt:lpstr>Notas_Fiscais</vt:lpstr>
      <vt:lpstr>Feriados</vt:lpstr>
      <vt:lpstr>Anos_Em_Aberto</vt:lpstr>
      <vt:lpstr>Data_Aprovacao</vt:lpstr>
      <vt:lpstr>Data_Assinatura_Contrato</vt:lpstr>
      <vt:lpstr>Data_Base</vt:lpstr>
      <vt:lpstr>Data_Emissao</vt:lpstr>
      <vt:lpstr>Data_Fechamento_Mes</vt:lpstr>
      <vt:lpstr>Data_Limite_Pagamento</vt:lpstr>
      <vt:lpstr>Dias_Em_Aberto</vt:lpstr>
      <vt:lpstr>Dias_Uteis_Aprovacao</vt:lpstr>
      <vt:lpstr>Fornecedor</vt:lpstr>
      <vt:lpstr>Meses_Em_Aberto</vt:lpstr>
      <vt:lpstr>Numero_NF</vt:lpstr>
      <vt:lpstr>Periodicidade_Revisao_Meses</vt:lpstr>
      <vt:lpstr>Prazo_Pagamento_Dias_Uteis</vt:lpstr>
      <vt:lpstr>Proxima_Revisao_Contrato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Henrique</cp:lastModifiedBy>
  <dcterms:created xsi:type="dcterms:W3CDTF">2026-10-07T11:58:33Z</dcterms:created>
  <dcterms:modified xsi:type="dcterms:W3CDTF">2026-10-07T12:56:19Z</dcterms:modified>
</cp:coreProperties>
</file>