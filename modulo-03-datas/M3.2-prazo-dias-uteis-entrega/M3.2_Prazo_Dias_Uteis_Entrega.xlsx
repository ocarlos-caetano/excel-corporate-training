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d4294ae10ed188/Estudos/Excel/modulo-03-datas/"/>
    </mc:Choice>
  </mc:AlternateContent>
  <xr:revisionPtr revIDLastSave="65" documentId="11_E30CB6787DD0186C95686C2E279EB7ABE074956C" xr6:coauthVersionLast="47" xr6:coauthVersionMax="47" xr10:uidLastSave="{AB23AFEE-19C6-43B4-842D-73655393D8FD}"/>
  <bookViews>
    <workbookView xWindow="-105" yWindow="0" windowWidth="19410" windowHeight="15585" tabRatio="500" xr2:uid="{00000000-000D-0000-FFFF-FFFF00000000}"/>
  </bookViews>
  <sheets>
    <sheet name="Pedidos_Prazo" sheetId="1" r:id="rId1"/>
    <sheet name="Feriados" sheetId="2" r:id="rId2"/>
  </sheets>
  <definedNames>
    <definedName name="Data_Pedido">Pedidos_Prazo[Data_Pedido]</definedName>
    <definedName name="Data_Prevista_Entrega">Pedidos_Prazo[Data_Prevista_Entrega]</definedName>
    <definedName name="Dias_Uteis_Prazo">Pedidos_Prazo[Dias_Uteis_Prazo]</definedName>
    <definedName name="Dias_Uteis_Restantes">Pedidos_Prazo[Dias_Uteis_Restantes]</definedName>
    <definedName name="Fornecedor">Pedidos_Prazo[Fornecedor]</definedName>
    <definedName name="ID_Pedido">Pedidos_Prazo[ID_Pedido]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E2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<sst xmlns="http://schemas.openxmlformats.org/spreadsheetml/2006/main" count="30" uniqueCount="30">
  <si>
    <t>ID_Pedido</t>
  </si>
  <si>
    <t>Fornecedor</t>
  </si>
  <si>
    <t>Data_Pedido</t>
  </si>
  <si>
    <t>Data_Prevista_Entrega</t>
  </si>
  <si>
    <t>Dias_Uteis_Prazo</t>
  </si>
  <si>
    <t>Dias_Uteis_Restantes</t>
  </si>
  <si>
    <t>PC601</t>
  </si>
  <si>
    <t>Aços do Brasil</t>
  </si>
  <si>
    <t>PC602</t>
  </si>
  <si>
    <t>Solda Forte Ltda</t>
  </si>
  <si>
    <t>PC603</t>
  </si>
  <si>
    <t>EPI Segurança SA</t>
  </si>
  <si>
    <t>PC604</t>
  </si>
  <si>
    <t>Elétrica Nuclear Ltda</t>
  </si>
  <si>
    <t>PC605</t>
  </si>
  <si>
    <t>Ferramentas Tec</t>
  </si>
  <si>
    <t>PC606</t>
  </si>
  <si>
    <t>Válvulas &amp; Cia</t>
  </si>
  <si>
    <t>PC607</t>
  </si>
  <si>
    <t>Rolamentos Industrial</t>
  </si>
  <si>
    <t>PC608</t>
  </si>
  <si>
    <t>Metalúrgica Sul</t>
  </si>
  <si>
    <t>PC609</t>
  </si>
  <si>
    <t>Tintas Anticorrosivas SA</t>
  </si>
  <si>
    <t>PC610</t>
  </si>
  <si>
    <t>Isolamento Térmico Nacional</t>
  </si>
  <si>
    <t>Data</t>
  </si>
  <si>
    <t>Descricao</t>
  </si>
  <si>
    <t>Independência do Brasil</t>
  </si>
  <si>
    <t>Nossa Senhora Aparecida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</si>
</sst>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2" fillId="0" borderId="2" xfId="0" applyNumberFormat="1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4" fontId="2" fillId="0" borderId="7" xfId="0" applyNumberFormat="1" applyFont="1" applyBorder="1"/>
    <xf numFmtId="0" fontId="2" fillId="0" borderId="9" xfId="0" applyFont="1" applyBorder="1"/>
    <xf numFmtId="0" fontId="3" fillId="0" borderId="1" xfId="0" applyNumberFormat="1" applyFont="1" applyBorder="1"/>
    <xf numFmtId="0" fontId="3" fillId="0" borderId="8" xfId="0" applyNumberFormat="1" applyFont="1" applyBorder="1"/>
    <xf numFmtId="0" fontId="4" fillId="0" borderId="2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4" fillId="0" borderId="7" xfId="0" applyFont="1" applyBorder="1"/>
    <xf numFmtId="0" fontId="4" fillId="0" borderId="8" xfId="0" applyFont="1" applyBorder="1"/>
    <xf numFmtId="14" fontId="4" fillId="0" borderId="8" xfId="0" applyNumberFormat="1" applyFont="1" applyBorder="1"/>
    <xf numFmtId="0" fontId="3" fillId="0" borderId="3" xfId="0" applyNumberFormat="1" applyFont="1" applyBorder="1"/>
    <xf numFmtId="0" fontId="3" fillId="0" borderId="9" xfId="0" applyNumberFormat="1" applyFont="1" applyBorder="1"/>
  </cellXfs>
  <cellStyles count="1">
    <cellStyle name="Normal" xfId="0" builtinId="0"/>
  </cellStyles>
  <dxfs count="17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9" formatCode="dd/mm/yyyy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CA4602-91E5-4630-95E0-27BB3486AD12}" name="Pedidos_Prazo" displayName="Pedidos_Prazo" ref="A1:F11" totalsRowShown="0" headerRowDxfId="13" dataDxfId="2" headerRowBorderDxfId="15" tableBorderDxfId="16" totalsRowBorderDxfId="14">
  <autoFilter ref="A1:F11" xr:uid="{ADCA4602-91E5-4630-95E0-27BB3486AD12}"/>
  <tableColumns count="6">
    <tableColumn id="1" xr3:uid="{908C63FE-DEC7-47AA-85B4-94AEA5F3FFDF}" name="ID_Pedido" dataDxfId="6"/>
    <tableColumn id="2" xr3:uid="{7E7C7562-9687-49EB-8289-628FA46EED6F}" name="Fornecedor" dataDxfId="5"/>
    <tableColumn id="3" xr3:uid="{7D75E077-FD24-4E43-8537-1D717F290E72}" name="Data_Pedido" dataDxfId="4"/>
    <tableColumn id="4" xr3:uid="{EA1FAAF6-64E5-4357-91A1-2DF4539962AC}" name="Data_Prevista_Entrega" dataDxfId="3"/>
    <tableColumn id="5" xr3:uid="{FC5DAAD5-684E-4498-9949-F0D42AD46D31}" name="Dias_Uteis_Prazo" dataDxfId="1">
      <calculatedColumnFormula>NETWORKDAYS(Pedidos_Prazo[[#This Row],[Data_Pedido]],Pedidos_Prazo[[#This Row],[Data_Prevista_Entrega]],Feriados[Data])</calculatedColumnFormula>
    </tableColumn>
    <tableColumn id="6" xr3:uid="{49B5C42F-0102-40AA-A58B-E147BA4A6BC8}" name="Dias_Uteis_Restantes" dataDxfId="0">
      <calculatedColumnFormula>NETWORKDAYS(TODAY(), Pedidos_Prazo[[#This Row],[Data_Prevista_Entrega]], Feriados[Data])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EC11A5-7F7E-46AA-AB1D-EA2D63810A50}" name="Feriados" displayName="Feriados" ref="A1:B3" totalsRowShown="0" headerRowDxfId="7" headerRowBorderDxfId="11" tableBorderDxfId="12" totalsRowBorderDxfId="10">
  <autoFilter ref="A1:B3" xr:uid="{B0EC11A5-7F7E-46AA-AB1D-EA2D63810A50}"/>
  <tableColumns count="2">
    <tableColumn id="1" xr3:uid="{C7886216-B141-4E8C-AD11-8A3A674C1BDD}" name="Data" dataDxfId="9"/>
    <tableColumn id="2" xr3:uid="{5C90BCEE-05CE-4805-83F8-D521DD7BC74B}" name="Descricao" dataDxfId="8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pane ySplit="1" topLeftCell="A2" activePane="bottomLeft" state="frozen"/>
      <selection pane="bottomLeft" activeCell="F3" sqref="F3"/>
    </sheetView>
  </sheetViews>
  <sheetFormatPr defaultColWidth="8.7109375" defaultRowHeight="15" x14ac:dyDescent="0.25"/>
  <cols>
    <col min="1" max="1" width="13.5703125" customWidth="1"/>
    <col min="2" max="2" width="28.5703125" bestFit="1" customWidth="1"/>
    <col min="3" max="3" width="16" customWidth="1"/>
    <col min="4" max="4" width="26.42578125" customWidth="1"/>
    <col min="5" max="5" width="21" customWidth="1"/>
    <col min="6" max="6" width="25.42578125" customWidth="1"/>
  </cols>
  <sheetData>
    <row r="1" spans="1:6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12" t="s">
        <v>6</v>
      </c>
      <c r="B2" s="13" t="s">
        <v>7</v>
      </c>
      <c r="C2" s="14">
        <v>46266</v>
      </c>
      <c r="D2" s="14">
        <v>46290</v>
      </c>
      <c r="E2" s="10">
        <f>NETWORKDAYS(Pedidos_Prazo[[#This Row],[Data_Pedido]],Pedidos_Prazo[[#This Row],[Data_Prevista_Entrega]],Feriados[Data])</f>
        <v>18</v>
      </c>
      <c r="F2" s="18">
        <f ca="1">NETWORKDAYS(TODAY(), Pedidos_Prazo[[#This Row],[Data_Prevista_Entrega]], Feriados[Data])</f>
        <v>10</v>
      </c>
    </row>
    <row r="3" spans="1:6" x14ac:dyDescent="0.25">
      <c r="A3" s="12" t="s">
        <v>8</v>
      </c>
      <c r="B3" s="13" t="s">
        <v>9</v>
      </c>
      <c r="C3" s="14">
        <v>46268</v>
      </c>
      <c r="D3" s="14">
        <v>46283</v>
      </c>
      <c r="E3" s="10">
        <f>NETWORKDAYS(Pedidos_Prazo[[#This Row],[Data_Pedido]],Pedidos_Prazo[[#This Row],[Data_Prevista_Entrega]],Feriados[Data])</f>
        <v>11</v>
      </c>
      <c r="F3" s="18">
        <f ca="1">NETWORKDAYS(TODAY(), Pedidos_Prazo[[#This Row],[Data_Prevista_Entrega]], Feriados[Data])</f>
        <v>5</v>
      </c>
    </row>
    <row r="4" spans="1:6" x14ac:dyDescent="0.25">
      <c r="A4" s="12" t="s">
        <v>10</v>
      </c>
      <c r="B4" s="13" t="s">
        <v>11</v>
      </c>
      <c r="C4" s="14">
        <v>46270</v>
      </c>
      <c r="D4" s="14">
        <v>46277</v>
      </c>
      <c r="E4" s="10">
        <f>NETWORKDAYS(Pedidos_Prazo[[#This Row],[Data_Pedido]],Pedidos_Prazo[[#This Row],[Data_Prevista_Entrega]],Feriados[Data])</f>
        <v>4</v>
      </c>
      <c r="F4" s="18">
        <f ca="1">NETWORKDAYS(TODAY(), Pedidos_Prazo[[#This Row],[Data_Prevista_Entrega]], Feriados[Data])</f>
        <v>-1</v>
      </c>
    </row>
    <row r="5" spans="1:6" x14ac:dyDescent="0.25">
      <c r="A5" s="12" t="s">
        <v>12</v>
      </c>
      <c r="B5" s="13" t="s">
        <v>13</v>
      </c>
      <c r="C5" s="14">
        <v>46273</v>
      </c>
      <c r="D5" s="14">
        <v>46305</v>
      </c>
      <c r="E5" s="10">
        <f>NETWORKDAYS(Pedidos_Prazo[[#This Row],[Data_Pedido]],Pedidos_Prazo[[#This Row],[Data_Prevista_Entrega]],Feriados[Data])</f>
        <v>24</v>
      </c>
      <c r="F5" s="18">
        <f ca="1">NETWORKDAYS(TODAY(), Pedidos_Prazo[[#This Row],[Data_Prevista_Entrega]], Feriados[Data])</f>
        <v>20</v>
      </c>
    </row>
    <row r="6" spans="1:6" x14ac:dyDescent="0.25">
      <c r="A6" s="12" t="s">
        <v>14</v>
      </c>
      <c r="B6" s="13" t="s">
        <v>15</v>
      </c>
      <c r="C6" s="14">
        <v>46275</v>
      </c>
      <c r="D6" s="14">
        <v>46295</v>
      </c>
      <c r="E6" s="10">
        <f>NETWORKDAYS(Pedidos_Prazo[[#This Row],[Data_Pedido]],Pedidos_Prazo[[#This Row],[Data_Prevista_Entrega]],Feriados[Data])</f>
        <v>15</v>
      </c>
      <c r="F6" s="18">
        <f ca="1">NETWORKDAYS(TODAY(), Pedidos_Prazo[[#This Row],[Data_Prevista_Entrega]], Feriados[Data])</f>
        <v>13</v>
      </c>
    </row>
    <row r="7" spans="1:6" x14ac:dyDescent="0.25">
      <c r="A7" s="12" t="s">
        <v>16</v>
      </c>
      <c r="B7" s="13" t="s">
        <v>17</v>
      </c>
      <c r="C7" s="14">
        <v>46277</v>
      </c>
      <c r="D7" s="14">
        <v>46287</v>
      </c>
      <c r="E7" s="10">
        <f>NETWORKDAYS(Pedidos_Prazo[[#This Row],[Data_Pedido]],Pedidos_Prazo[[#This Row],[Data_Prevista_Entrega]],Feriados[Data])</f>
        <v>7</v>
      </c>
      <c r="F7" s="18">
        <f ca="1">NETWORKDAYS(TODAY(), Pedidos_Prazo[[#This Row],[Data_Prevista_Entrega]], Feriados[Data])</f>
        <v>7</v>
      </c>
    </row>
    <row r="8" spans="1:6" x14ac:dyDescent="0.25">
      <c r="A8" s="12" t="s">
        <v>18</v>
      </c>
      <c r="B8" s="13" t="s">
        <v>19</v>
      </c>
      <c r="C8" s="14">
        <v>46279</v>
      </c>
      <c r="D8" s="14">
        <v>46293</v>
      </c>
      <c r="E8" s="10">
        <f>NETWORKDAYS(Pedidos_Prazo[[#This Row],[Data_Pedido]],Pedidos_Prazo[[#This Row],[Data_Prevista_Entrega]],Feriados[Data])</f>
        <v>11</v>
      </c>
      <c r="F8" s="18">
        <f ca="1">NETWORKDAYS(TODAY(), Pedidos_Prazo[[#This Row],[Data_Prevista_Entrega]], Feriados[Data])</f>
        <v>11</v>
      </c>
    </row>
    <row r="9" spans="1:6" x14ac:dyDescent="0.25">
      <c r="A9" s="12" t="s">
        <v>20</v>
      </c>
      <c r="B9" s="13" t="s">
        <v>21</v>
      </c>
      <c r="C9" s="14">
        <v>46280</v>
      </c>
      <c r="D9" s="14">
        <v>46310</v>
      </c>
      <c r="E9" s="10">
        <f>NETWORKDAYS(Pedidos_Prazo[[#This Row],[Data_Pedido]],Pedidos_Prazo[[#This Row],[Data_Prevista_Entrega]],Feriados[Data])</f>
        <v>22</v>
      </c>
      <c r="F9" s="18">
        <f ca="1">NETWORKDAYS(TODAY(), Pedidos_Prazo[[#This Row],[Data_Prevista_Entrega]], Feriados[Data])</f>
        <v>23</v>
      </c>
    </row>
    <row r="10" spans="1:6" x14ac:dyDescent="0.25">
      <c r="A10" s="12" t="s">
        <v>22</v>
      </c>
      <c r="B10" s="13" t="s">
        <v>23</v>
      </c>
      <c r="C10" s="14">
        <v>46281</v>
      </c>
      <c r="D10" s="14">
        <v>46285</v>
      </c>
      <c r="E10" s="10">
        <f>NETWORKDAYS(Pedidos_Prazo[[#This Row],[Data_Pedido]],Pedidos_Prazo[[#This Row],[Data_Prevista_Entrega]],Feriados[Data])</f>
        <v>3</v>
      </c>
      <c r="F10" s="18">
        <f ca="1">NETWORKDAYS(TODAY(), Pedidos_Prazo[[#This Row],[Data_Prevista_Entrega]], Feriados[Data])</f>
        <v>5</v>
      </c>
    </row>
    <row r="11" spans="1:6" x14ac:dyDescent="0.25">
      <c r="A11" s="15" t="s">
        <v>24</v>
      </c>
      <c r="B11" s="16" t="s">
        <v>25</v>
      </c>
      <c r="C11" s="17">
        <v>46283</v>
      </c>
      <c r="D11" s="17">
        <v>46300</v>
      </c>
      <c r="E11" s="11">
        <f>NETWORKDAYS(Pedidos_Prazo[[#This Row],[Data_Pedido]],Pedidos_Prazo[[#This Row],[Data_Prevista_Entrega]],Feriados[Data])</f>
        <v>12</v>
      </c>
      <c r="F11" s="19">
        <f ca="1">NETWORKDAYS(TODAY(), Pedidos_Prazo[[#This Row],[Data_Prevista_Entrega]], Feriados[Data])</f>
        <v>16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Normal="100" workbookViewId="0">
      <selection sqref="A1:B3"/>
    </sheetView>
  </sheetViews>
  <sheetFormatPr defaultColWidth="8.7109375" defaultRowHeight="15" x14ac:dyDescent="0.25"/>
  <cols>
    <col min="1" max="1" width="15" customWidth="1"/>
    <col min="2" max="2" width="26" customWidth="1"/>
  </cols>
  <sheetData>
    <row r="1" spans="1:2" x14ac:dyDescent="0.25">
      <c r="A1" s="6" t="s">
        <v>26</v>
      </c>
      <c r="B1" s="7" t="s">
        <v>27</v>
      </c>
    </row>
    <row r="2" spans="1:2" x14ac:dyDescent="0.25">
      <c r="A2" s="4">
        <v>46272</v>
      </c>
      <c r="B2" s="5" t="s">
        <v>28</v>
      </c>
    </row>
    <row r="3" spans="1:2" x14ac:dyDescent="0.25">
      <c r="A3" s="8">
        <v>46307</v>
      </c>
      <c r="B3" s="9" t="s">
        <v>29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Pedidos_Prazo</vt:lpstr>
      <vt:lpstr>Feriados</vt:lpstr>
      <vt:lpstr>Data_Pedido</vt:lpstr>
      <vt:lpstr>Data_Prevista_Entrega</vt:lpstr>
      <vt:lpstr>Dias_Uteis_Prazo</vt:lpstr>
      <vt:lpstr>Dias_Uteis_Restantes</vt:lpstr>
      <vt:lpstr>Fornecedor</vt:lpstr>
      <vt:lpstr>ID_Pedido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Henrique</cp:lastModifiedBy>
  <cp:revision>0</cp:revision>
  <dcterms:created xsi:type="dcterms:W3CDTF">2026-09-14T11:57:27Z</dcterms:created>
  <dcterms:modified xsi:type="dcterms:W3CDTF">2026-09-14T12:55:19Z</dcterms:modified>
  <dc:language>en-US</dc:language>
</cp:coreProperties>
</file>