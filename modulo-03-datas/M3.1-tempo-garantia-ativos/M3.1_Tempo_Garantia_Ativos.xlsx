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3-datas/"/>
    </mc:Choice>
  </mc:AlternateContent>
  <xr:revisionPtr revIDLastSave="67" documentId="11_F1DF5859784B2752C4746376578CACF775FEAB88" xr6:coauthVersionLast="47" xr6:coauthVersionMax="47" xr10:uidLastSave="{D05FB7FE-03C1-4614-A0FC-C86126E92B6A}"/>
  <bookViews>
    <workbookView minimized="1" xWindow="3180" yWindow="2055" windowWidth="28800" windowHeight="11295" tabRatio="500" xr2:uid="{00000000-000D-0000-FFFF-FFFF00000000}"/>
  </bookViews>
  <sheets>
    <sheet name="Ativos_Garanti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E2" i="1"/>
  <c r="E3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<sst xmlns="http://schemas.openxmlformats.org/spreadsheetml/2006/main" count="29" uniqueCount="29">
  <si>
    <t>ID_Ativo</t>
  </si>
  <si>
    <t>Equipamento</t>
  </si>
  <si>
    <t>Data_Aquisicao</t>
  </si>
  <si>
    <t>Tempo_Uso_Anos</t>
  </si>
  <si>
    <t>Tempo_Uso_Meses</t>
  </si>
  <si>
    <t>AT101</t>
  </si>
  <si>
    <t>Prensa Hidráulica 01</t>
  </si>
  <si>
    <t>AT102</t>
  </si>
  <si>
    <t>Empilhadeira 03</t>
  </si>
  <si>
    <t>AT103</t>
  </si>
  <si>
    <t>Compressor de Ar</t>
  </si>
  <si>
    <t>AT104</t>
  </si>
  <si>
    <t>Painel Elétrico Geral</t>
  </si>
  <si>
    <t>AT105</t>
  </si>
  <si>
    <t>Gerador Backup</t>
  </si>
  <si>
    <t>AT106</t>
  </si>
  <si>
    <t>Esteira Transportadora</t>
  </si>
  <si>
    <t>AT107</t>
  </si>
  <si>
    <t>Ponte Rolante</t>
  </si>
  <si>
    <t>AT108</t>
  </si>
  <si>
    <t>Bomba Hidráulica 02</t>
  </si>
  <si>
    <t>AT109</t>
  </si>
  <si>
    <t>Caldeira Industrial</t>
  </si>
  <si>
    <t>AT110</t>
  </si>
  <si>
    <t>Torno Mecânico</t>
  </si>
  <si>
    <t>AT111</t>
  </si>
  <si>
    <t>Sistema de Ventilação</t>
  </si>
  <si>
    <t>AT112</t>
  </si>
  <si>
    <t>Painel de Controle 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</si>
</sst>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" xfId="0" applyFont="1" applyBorder="1"/>
    <xf numFmtId="0" fontId="3" fillId="0" borderId="8" xfId="0" applyFont="1" applyBorder="1"/>
    <xf numFmtId="0" fontId="3" fillId="0" borderId="1" xfId="0" applyNumberFormat="1" applyFont="1" applyBorder="1"/>
  </cellXfs>
  <cellStyles count="1">
    <cellStyle name="Normal" xfId="0" builtinId="0"/>
  </cellStyles>
  <dxfs count="9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A21D7-B712-4692-B226-41AE205A15AB}" name="Tabela1" displayName="Tabela1" ref="A1:E13" totalsRowShown="0" headerRowDxfId="8" headerRowBorderDxfId="7" tableBorderDxfId="6" totalsRowBorderDxfId="5">
  <autoFilter ref="A1:E13" xr:uid="{92BA21D7-B712-4692-B226-41AE205A15AB}"/>
  <tableColumns count="5">
    <tableColumn id="1" xr3:uid="{2B45AEA2-313B-4260-9B36-5EB5497DF7F9}" name="ID_Ativo" dataDxfId="4"/>
    <tableColumn id="2" xr3:uid="{4C3AE141-564F-4C2D-A314-4B6D4812AFF3}" name="Equipamento" dataDxfId="3"/>
    <tableColumn id="3" xr3:uid="{037FB6CA-62BE-4223-B4DF-E5B3B3FB3CA5}" name="Data_Aquisicao" dataDxfId="2"/>
    <tableColumn id="4" xr3:uid="{E92CE980-0FA3-4171-AC24-C8B1348E7655}" name="Tempo_Uso_Anos" dataDxfId="0">
      <calculatedColumnFormula>DATEDIF(Tabela1[[#This Row],[Data_Aquisicao]], TODAY(), "Y")</calculatedColumnFormula>
    </tableColumn>
    <tableColumn id="5" xr3:uid="{AE29955A-99CA-41A8-B377-248C8B9102E6}" name="Tempo_Uso_Meses" dataDxfId="1">
      <calculatedColumnFormula>DATEDIF(Tabela1[[#This Row],[Data_Aquisicao]], TODAY(), "m")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pane ySplit="1" topLeftCell="A2" activePane="bottomLeft" state="frozen"/>
      <selection pane="bottomLeft" activeCell="E6" sqref="E6"/>
    </sheetView>
  </sheetViews>
  <sheetFormatPr defaultColWidth="8.7109375" defaultRowHeight="15" x14ac:dyDescent="0.25"/>
  <cols>
    <col min="1" max="1" width="11.5703125" customWidth="1"/>
    <col min="2" max="2" width="24" customWidth="1"/>
    <col min="3" max="3" width="18.5703125" customWidth="1"/>
    <col min="4" max="4" width="21.42578125" customWidth="1"/>
    <col min="5" max="5" width="23.140625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3" t="s">
        <v>5</v>
      </c>
      <c r="B2" s="1" t="s">
        <v>6</v>
      </c>
      <c r="C2" s="2">
        <v>43534</v>
      </c>
      <c r="D2" s="14">
        <f ca="1">DATEDIF(Tabela1[[#This Row],[Data_Aquisicao]], TODAY(), "Y")</f>
        <v>7</v>
      </c>
      <c r="E2" s="10">
        <f ca="1">DATEDIF(Tabela1[[#This Row],[Data_Aquisicao]], TODAY(), "m")</f>
        <v>90</v>
      </c>
    </row>
    <row r="3" spans="1:5" x14ac:dyDescent="0.25">
      <c r="A3" s="3" t="s">
        <v>7</v>
      </c>
      <c r="B3" s="1" t="s">
        <v>8</v>
      </c>
      <c r="C3" s="2">
        <v>44764</v>
      </c>
      <c r="D3" s="12">
        <f ca="1">DATEDIF(Tabela1[[#This Row],[Data_Aquisicao]], TODAY(), "Y")</f>
        <v>4</v>
      </c>
      <c r="E3" s="10">
        <f ca="1">DATEDIF(Tabela1[[#This Row],[Data_Aquisicao]], TODAY(), "m")</f>
        <v>49</v>
      </c>
    </row>
    <row r="4" spans="1:5" x14ac:dyDescent="0.25">
      <c r="A4" s="3" t="s">
        <v>9</v>
      </c>
      <c r="B4" s="1" t="s">
        <v>10</v>
      </c>
      <c r="C4" s="2">
        <v>44140</v>
      </c>
      <c r="D4" s="12">
        <f ca="1">DATEDIF(Tabela1[[#This Row],[Data_Aquisicao]], TODAY(), "Y")</f>
        <v>5</v>
      </c>
      <c r="E4" s="10">
        <f ca="1">DATEDIF(Tabela1[[#This Row],[Data_Aquisicao]], TODAY(), "m")</f>
        <v>70</v>
      </c>
    </row>
    <row r="5" spans="1:5" x14ac:dyDescent="0.25">
      <c r="A5" s="3" t="s">
        <v>11</v>
      </c>
      <c r="B5" s="1" t="s">
        <v>12</v>
      </c>
      <c r="C5" s="2">
        <v>44941</v>
      </c>
      <c r="D5" s="12">
        <f ca="1">DATEDIF(Tabela1[[#This Row],[Data_Aquisicao]], TODAY(), "Y")</f>
        <v>3</v>
      </c>
      <c r="E5" s="10">
        <f ca="1">DATEDIF(Tabela1[[#This Row],[Data_Aquisicao]], TODAY(), "m")</f>
        <v>43</v>
      </c>
    </row>
    <row r="6" spans="1:5" x14ac:dyDescent="0.25">
      <c r="A6" s="3" t="s">
        <v>13</v>
      </c>
      <c r="B6" s="1" t="s">
        <v>14</v>
      </c>
      <c r="C6" s="2">
        <v>43281</v>
      </c>
      <c r="D6" s="12">
        <f ca="1">DATEDIF(Tabela1[[#This Row],[Data_Aquisicao]], TODAY(), "Y")</f>
        <v>8</v>
      </c>
      <c r="E6" s="10">
        <f ca="1">DATEDIF(Tabela1[[#This Row],[Data_Aquisicao]], TODAY(), "m")</f>
        <v>98</v>
      </c>
    </row>
    <row r="7" spans="1:5" x14ac:dyDescent="0.25">
      <c r="A7" s="3" t="s">
        <v>15</v>
      </c>
      <c r="B7" s="1" t="s">
        <v>16</v>
      </c>
      <c r="C7" s="2">
        <v>44451</v>
      </c>
      <c r="D7" s="12">
        <f ca="1">DATEDIF(Tabela1[[#This Row],[Data_Aquisicao]], TODAY(), "Y")</f>
        <v>4</v>
      </c>
      <c r="E7" s="10">
        <f ca="1">DATEDIF(Tabela1[[#This Row],[Data_Aquisicao]], TODAY(), "m")</f>
        <v>59</v>
      </c>
    </row>
    <row r="8" spans="1:5" x14ac:dyDescent="0.25">
      <c r="A8" s="3" t="s">
        <v>17</v>
      </c>
      <c r="B8" s="1" t="s">
        <v>18</v>
      </c>
      <c r="C8" s="2">
        <v>42843</v>
      </c>
      <c r="D8" s="12">
        <f ca="1">DATEDIF(Tabela1[[#This Row],[Data_Aquisicao]], TODAY(), "Y")</f>
        <v>9</v>
      </c>
      <c r="E8" s="10">
        <f ca="1">DATEDIF(Tabela1[[#This Row],[Data_Aquisicao]], TODAY(), "m")</f>
        <v>112</v>
      </c>
    </row>
    <row r="9" spans="1:5" x14ac:dyDescent="0.25">
      <c r="A9" s="3" t="s">
        <v>19</v>
      </c>
      <c r="B9" s="1" t="s">
        <v>20</v>
      </c>
      <c r="C9" s="2">
        <v>45330</v>
      </c>
      <c r="D9" s="12">
        <f ca="1">DATEDIF(Tabela1[[#This Row],[Data_Aquisicao]], TODAY(), "Y")</f>
        <v>2</v>
      </c>
      <c r="E9" s="10">
        <f ca="1">DATEDIF(Tabela1[[#This Row],[Data_Aquisicao]], TODAY(), "m")</f>
        <v>31</v>
      </c>
    </row>
    <row r="10" spans="1:5" x14ac:dyDescent="0.25">
      <c r="A10" s="3" t="s">
        <v>21</v>
      </c>
      <c r="B10" s="1" t="s">
        <v>22</v>
      </c>
      <c r="C10" s="2">
        <v>42705</v>
      </c>
      <c r="D10" s="12">
        <f ca="1">DATEDIF(Tabela1[[#This Row],[Data_Aquisicao]], TODAY(), "Y")</f>
        <v>9</v>
      </c>
      <c r="E10" s="10">
        <f ca="1">DATEDIF(Tabela1[[#This Row],[Data_Aquisicao]], TODAY(), "m")</f>
        <v>117</v>
      </c>
    </row>
    <row r="11" spans="1:5" x14ac:dyDescent="0.25">
      <c r="A11" s="3" t="s">
        <v>23</v>
      </c>
      <c r="B11" s="1" t="s">
        <v>24</v>
      </c>
      <c r="C11" s="2">
        <v>44859</v>
      </c>
      <c r="D11" s="12">
        <f ca="1">DATEDIF(Tabela1[[#This Row],[Data_Aquisicao]], TODAY(), "Y")</f>
        <v>3</v>
      </c>
      <c r="E11" s="10">
        <f ca="1">DATEDIF(Tabela1[[#This Row],[Data_Aquisicao]], TODAY(), "m")</f>
        <v>46</v>
      </c>
    </row>
    <row r="12" spans="1:5" x14ac:dyDescent="0.25">
      <c r="A12" s="3" t="s">
        <v>25</v>
      </c>
      <c r="B12" s="1" t="s">
        <v>26</v>
      </c>
      <c r="C12" s="2">
        <v>43691</v>
      </c>
      <c r="D12" s="12">
        <f ca="1">DATEDIF(Tabela1[[#This Row],[Data_Aquisicao]], TODAY(), "Y")</f>
        <v>7</v>
      </c>
      <c r="E12" s="10">
        <f ca="1">DATEDIF(Tabela1[[#This Row],[Data_Aquisicao]], TODAY(), "m")</f>
        <v>84</v>
      </c>
    </row>
    <row r="13" spans="1:5" x14ac:dyDescent="0.25">
      <c r="A13" s="7" t="s">
        <v>27</v>
      </c>
      <c r="B13" s="8" t="s">
        <v>28</v>
      </c>
      <c r="C13" s="9">
        <v>45049</v>
      </c>
      <c r="D13" s="13">
        <f ca="1">DATEDIF(Tabela1[[#This Row],[Data_Aquisicao]], TODAY(), "Y")</f>
        <v>3</v>
      </c>
      <c r="E13" s="11">
        <f ca="1">DATEDIF(Tabela1[[#This Row],[Data_Aquisicao]], TODAY(), "m")</f>
        <v>40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Ativos_Garantia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Henrique</cp:lastModifiedBy>
  <cp:revision>0</cp:revision>
  <dcterms:created xsi:type="dcterms:W3CDTF">2026-09-09T18:36:44Z</dcterms:created>
  <dcterms:modified xsi:type="dcterms:W3CDTF">2026-09-10T17:34:33Z</dcterms:modified>
  <dc:language>en-US</dc:language>
</cp:coreProperties>
</file>