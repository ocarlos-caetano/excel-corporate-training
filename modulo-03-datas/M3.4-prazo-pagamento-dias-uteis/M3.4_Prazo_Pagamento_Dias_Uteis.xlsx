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rlos.caetano\Downloads\"/>
    </mc:Choice>
  </mc:AlternateContent>
  <xr:revisionPtr revIDLastSave="0" documentId="13_ncr:1_{28CC726D-906C-4E4D-A5E5-23A6E55D7002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Notas_Fiscais" sheetId="1" r:id="rId1"/>
    <sheet name="Feriados" sheetId="2" r:id="rId2"/>
  </sheets>
  <definedNames>
    <definedName name="Data">Feriados[Data]</definedName>
    <definedName name="Data_Aprovacao">Notas_Fiscais[Data_Aprovacao]</definedName>
    <definedName name="Data_Pagamento">Notas_Fiscais[Data_Pagamento]</definedName>
    <definedName name="Feriado">Feriados[Feriado]</definedName>
    <definedName name="Fornecedor">Notas_Fiscais[Fornecedor]</definedName>
    <definedName name="Numero_NF">Notas_Fiscais[Numero_NF]</definedName>
    <definedName name="Prazo_Dias_Uteis">Notas_Fiscais[Prazo_Dias_Uteis]</definedName>
    <definedName name="Valor">Notas_Fiscais[Valor]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</calcChain>
</file>

<file path=xl/sharedStrings.xml><?xml version="1.0" encoding="utf-8"?>
<sst xmlns="http://schemas.openxmlformats.org/spreadsheetml/2006/main" count="29" uniqueCount="29">
  <si>
    <t>Numero_NF</t>
  </si>
  <si>
    <t>Fornecedor</t>
  </si>
  <si>
    <t>Valor</t>
  </si>
  <si>
    <t>Data_Aprovacao</t>
  </si>
  <si>
    <t>Prazo_Dias_Uteis</t>
  </si>
  <si>
    <t>Data_Pagamento</t>
  </si>
  <si>
    <t>NF-2026-04471</t>
  </si>
  <si>
    <t>Metalúrgica Rio Ferro Ltda</t>
  </si>
  <si>
    <t>NF-2026-04472</t>
  </si>
  <si>
    <t>Siderúrgica Baía Sul S.A.</t>
  </si>
  <si>
    <t>NF-2026-04473</t>
  </si>
  <si>
    <t>TechSolda Industrial Ltda</t>
  </si>
  <si>
    <t>NF-2026-04474</t>
  </si>
  <si>
    <t>Componentes Pesados Guanabara Ltda</t>
  </si>
  <si>
    <t>NF-2026-04475</t>
  </si>
  <si>
    <t>Usinagem Sepetiba Ltda</t>
  </si>
  <si>
    <t>NF-2026-04476</t>
  </si>
  <si>
    <t>Fundição Atlântica S.A.</t>
  </si>
  <si>
    <t>NF-2026-04477</t>
  </si>
  <si>
    <t>Estruturas Metálicas Niterói Ltda</t>
  </si>
  <si>
    <t>NF-2026-04478</t>
  </si>
  <si>
    <t>Precision Aço Ltda</t>
  </si>
  <si>
    <t>Data</t>
  </si>
  <si>
    <t>Feriado</t>
  </si>
  <si>
    <t>Nossa Senhora Aparecida</t>
  </si>
  <si>
    <t>Finados</t>
  </si>
  <si>
    <t>Proclamação da República</t>
  </si>
  <si>
    <t>Consciência Negra</t>
  </si>
  <si>
    <t>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</si>
</sst>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4A907-CC54-49E0-A719-0D0AC2CC2597}" name="Notas_Fiscais" displayName="Notas_Fiscais" ref="A1:F9" totalsRowShown="0" headerRowDxfId="4" dataDxfId="5">
  <autoFilter ref="A1:F9" xr:uid="{F224A907-CC54-49E0-A719-0D0AC2CC2597}"/>
  <tableColumns count="6">
    <tableColumn id="1" xr3:uid="{4F50811E-19FF-4540-8818-A6351C7A12F3}" name="Numero_NF" dataDxfId="10"/>
    <tableColumn id="2" xr3:uid="{A8E3FA91-D57A-4C37-9CC4-0F0CF5B6AF5E}" name="Fornecedor" dataDxfId="9"/>
    <tableColumn id="3" xr3:uid="{DDD339DB-FBDB-4314-B5B2-911CCE29EB80}" name="Valor" dataDxfId="8"/>
    <tableColumn id="4" xr3:uid="{17144426-F94E-4E03-AD03-DC1880A8DD9C}" name="Data_Aprovacao" dataDxfId="7"/>
    <tableColumn id="5" xr3:uid="{36A55165-5EF9-4293-B367-ADFCEC70CED0}" name="Prazo_Dias_Uteis" dataDxfId="6"/>
    <tableColumn id="6" xr3:uid="{FFC42FDF-0798-4D0A-AFB0-482896597F1B}" name="Data_Pagamento" dataDxfId="0">
      <calculatedColumnFormula>WORKDAY(Notas_Fiscais[[#This Row],[Data_Aprovacao]], Notas_Fiscais[[#This Row],[Prazo_Dias_Uteis]], Feriados[Data])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0E71DA-28C6-43EF-9EA4-AF1E5963C025}" name="Feriados" displayName="Feriados" ref="A1:B6" totalsRowShown="0" headerRowDxfId="1">
  <autoFilter ref="A1:B6" xr:uid="{480E71DA-28C6-43EF-9EA4-AF1E5963C025}"/>
  <tableColumns count="2">
    <tableColumn id="1" xr3:uid="{0294528A-734A-463A-ACBC-B6A32BB97F03}" name="Data" dataDxfId="3"/>
    <tableColumn id="2" xr3:uid="{29A86CA9-B49C-43FC-8A1F-BBDA131DE3BA}" name="Feriado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6" customWidth="1"/>
    <col min="2" max="2" width="36" customWidth="1"/>
    <col min="3" max="3" width="14" customWidth="1"/>
    <col min="4" max="4" width="19.5703125" customWidth="1"/>
    <col min="5" max="5" width="21" customWidth="1"/>
    <col min="6" max="6" width="2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>
        <v>18420</v>
      </c>
      <c r="D2" s="4">
        <v>46266</v>
      </c>
      <c r="E2" s="2">
        <v>10</v>
      </c>
      <c r="F2" s="4">
        <f>WORKDAY(Notas_Fiscais[[#This Row],[Data_Aprovacao]], Notas_Fiscais[[#This Row],[Prazo_Dias_Uteis]], Feriados[Data])</f>
        <v>46280</v>
      </c>
    </row>
    <row r="3" spans="1:6" x14ac:dyDescent="0.25">
      <c r="A3" s="2" t="s">
        <v>8</v>
      </c>
      <c r="B3" s="2" t="s">
        <v>9</v>
      </c>
      <c r="C3" s="3">
        <v>42900.5</v>
      </c>
      <c r="D3" s="4">
        <v>46268</v>
      </c>
      <c r="E3" s="2">
        <v>20</v>
      </c>
      <c r="F3" s="4">
        <f>WORKDAY(Notas_Fiscais[[#This Row],[Data_Aprovacao]], Notas_Fiscais[[#This Row],[Prazo_Dias_Uteis]], Feriados[Data])</f>
        <v>46296</v>
      </c>
    </row>
    <row r="4" spans="1:6" x14ac:dyDescent="0.25">
      <c r="A4" s="2" t="s">
        <v>10</v>
      </c>
      <c r="B4" s="2" t="s">
        <v>11</v>
      </c>
      <c r="C4" s="3">
        <v>7650</v>
      </c>
      <c r="D4" s="4">
        <v>46273</v>
      </c>
      <c r="E4" s="2">
        <v>10</v>
      </c>
      <c r="F4" s="4">
        <f>WORKDAY(Notas_Fiscais[[#This Row],[Data_Aprovacao]], Notas_Fiscais[[#This Row],[Prazo_Dias_Uteis]], Feriados[Data])</f>
        <v>46287</v>
      </c>
    </row>
    <row r="5" spans="1:6" x14ac:dyDescent="0.25">
      <c r="A5" s="2" t="s">
        <v>12</v>
      </c>
      <c r="B5" s="2" t="s">
        <v>13</v>
      </c>
      <c r="C5" s="3">
        <v>65300</v>
      </c>
      <c r="D5" s="4">
        <v>46275</v>
      </c>
      <c r="E5" s="2">
        <v>30</v>
      </c>
      <c r="F5" s="4">
        <f>WORKDAY(Notas_Fiscais[[#This Row],[Data_Aprovacao]], Notas_Fiscais[[#This Row],[Prazo_Dias_Uteis]], Feriados[Data])</f>
        <v>46318</v>
      </c>
    </row>
    <row r="6" spans="1:6" x14ac:dyDescent="0.25">
      <c r="A6" s="2" t="s">
        <v>14</v>
      </c>
      <c r="B6" s="2" t="s">
        <v>15</v>
      </c>
      <c r="C6" s="3">
        <v>12180.75</v>
      </c>
      <c r="D6" s="4">
        <v>46280</v>
      </c>
      <c r="E6" s="2">
        <v>15</v>
      </c>
      <c r="F6" s="4">
        <f>WORKDAY(Notas_Fiscais[[#This Row],[Data_Aprovacao]], Notas_Fiscais[[#This Row],[Prazo_Dias_Uteis]], Feriados[Data])</f>
        <v>46301</v>
      </c>
    </row>
    <row r="7" spans="1:6" x14ac:dyDescent="0.25">
      <c r="A7" s="2" t="s">
        <v>16</v>
      </c>
      <c r="B7" s="2" t="s">
        <v>17</v>
      </c>
      <c r="C7" s="3">
        <v>29750</v>
      </c>
      <c r="D7" s="4">
        <v>46283</v>
      </c>
      <c r="E7" s="2">
        <v>10</v>
      </c>
      <c r="F7" s="4">
        <f>WORKDAY(Notas_Fiscais[[#This Row],[Data_Aprovacao]], Notas_Fiscais[[#This Row],[Prazo_Dias_Uteis]], Feriados[Data])</f>
        <v>46297</v>
      </c>
    </row>
    <row r="8" spans="1:6" x14ac:dyDescent="0.25">
      <c r="A8" s="2" t="s">
        <v>18</v>
      </c>
      <c r="B8" s="2" t="s">
        <v>19</v>
      </c>
      <c r="C8" s="3">
        <v>8990</v>
      </c>
      <c r="D8" s="4">
        <v>46286</v>
      </c>
      <c r="E8" s="2">
        <v>20</v>
      </c>
      <c r="F8" s="4">
        <f>WORKDAY(Notas_Fiscais[[#This Row],[Data_Aprovacao]], Notas_Fiscais[[#This Row],[Prazo_Dias_Uteis]], Feriados[Data])</f>
        <v>46315</v>
      </c>
    </row>
    <row r="9" spans="1:6" x14ac:dyDescent="0.25">
      <c r="A9" s="2" t="s">
        <v>20</v>
      </c>
      <c r="B9" s="2" t="s">
        <v>21</v>
      </c>
      <c r="C9" s="3">
        <v>51200</v>
      </c>
      <c r="D9" s="4">
        <v>46287</v>
      </c>
      <c r="E9" s="2">
        <v>30</v>
      </c>
      <c r="F9" s="4">
        <f>WORKDAY(Notas_Fiscais[[#This Row],[Data_Aprovacao]], Notas_Fiscais[[#This Row],[Prazo_Dias_Uteis]], Feriados[Data])</f>
        <v>46331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4" customWidth="1"/>
    <col min="2" max="2" width="28" customWidth="1"/>
  </cols>
  <sheetData>
    <row r="1" spans="1:2" x14ac:dyDescent="0.25">
      <c r="A1" s="1" t="s">
        <v>22</v>
      </c>
      <c r="B1" s="1" t="s">
        <v>23</v>
      </c>
    </row>
    <row r="2" spans="1:2" x14ac:dyDescent="0.25">
      <c r="A2" s="4">
        <v>46307</v>
      </c>
      <c r="B2" s="2" t="s">
        <v>24</v>
      </c>
    </row>
    <row r="3" spans="1:2" x14ac:dyDescent="0.25">
      <c r="A3" s="4">
        <v>46328</v>
      </c>
      <c r="B3" s="2" t="s">
        <v>25</v>
      </c>
    </row>
    <row r="4" spans="1:2" x14ac:dyDescent="0.25">
      <c r="A4" s="4">
        <v>46341</v>
      </c>
      <c r="B4" s="2" t="s">
        <v>26</v>
      </c>
    </row>
    <row r="5" spans="1:2" x14ac:dyDescent="0.25">
      <c r="A5" s="4">
        <v>46346</v>
      </c>
      <c r="B5" s="2" t="s">
        <v>27</v>
      </c>
    </row>
    <row r="6" spans="1:2" x14ac:dyDescent="0.25">
      <c r="A6" s="4">
        <v>46381</v>
      </c>
      <c r="B6" s="2" t="s">
        <v>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Notas_Fiscais</vt:lpstr>
      <vt:lpstr>Feriados</vt:lpstr>
      <vt:lpstr>Data</vt:lpstr>
      <vt:lpstr>Data_Aprovacao</vt:lpstr>
      <vt:lpstr>Data_Pagamento</vt:lpstr>
      <vt:lpstr>Feriado</vt:lpstr>
      <vt:lpstr>Fornecedor</vt:lpstr>
      <vt:lpstr>Numero_NF</vt:lpstr>
      <vt:lpstr>Prazo_Dias_Uteis</vt:lpstr>
      <vt:lpstr>Valor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Henrique Dos Santos Caetano</cp:lastModifiedBy>
  <dcterms:created xsi:type="dcterms:W3CDTF">2026-09-28T12:29:18Z</dcterms:created>
  <dcterms:modified xsi:type="dcterms:W3CDTF">2026-10-02T14:43:17Z</dcterms:modified>
</cp:coreProperties>
</file>